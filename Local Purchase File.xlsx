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 VAT\"/>
    </mc:Choice>
  </mc:AlternateContent>
  <xr:revisionPtr revIDLastSave="0" documentId="13_ncr:1_{6652FA28-9F0C-402C-89FA-92C82DCACB79}" xr6:coauthVersionLast="47" xr6:coauthVersionMax="47" xr10:uidLastSave="{00000000-0000-0000-0000-000000000000}"/>
  <bookViews>
    <workbookView xWindow="-120" yWindow="-120" windowWidth="29040" windowHeight="15720" xr2:uid="{043B554A-A3AF-4826-A037-9816AE3B7864}"/>
  </bookViews>
  <sheets>
    <sheet name="Local Purch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39" i="1" l="1"/>
  <c r="P39" i="1"/>
  <c r="N39" i="1"/>
  <c r="M39" i="1"/>
  <c r="K38" i="1"/>
  <c r="K37" i="1"/>
  <c r="K36" i="1"/>
  <c r="K35" i="1"/>
  <c r="K34" i="1"/>
  <c r="K33" i="1"/>
  <c r="K32" i="1"/>
  <c r="K31" i="1"/>
  <c r="K30" i="1"/>
  <c r="K29" i="1"/>
  <c r="K28" i="1"/>
  <c r="K39" i="1" s="1"/>
  <c r="M17" i="1"/>
  <c r="L17" i="1"/>
  <c r="K17" i="1"/>
  <c r="J17" i="1"/>
  <c r="M15" i="1"/>
  <c r="L15" i="1"/>
  <c r="J15" i="1"/>
  <c r="I15" i="1"/>
  <c r="H15" i="1"/>
  <c r="M11" i="1"/>
  <c r="M9" i="1" s="1"/>
  <c r="L11" i="1"/>
  <c r="L9" i="1" s="1"/>
  <c r="K11" i="1"/>
  <c r="J11" i="1"/>
  <c r="J9" i="1" s="1"/>
  <c r="I11" i="1"/>
  <c r="H11" i="1"/>
  <c r="I9" i="1"/>
  <c r="H9" i="1"/>
</calcChain>
</file>

<file path=xl/sharedStrings.xml><?xml version="1.0" encoding="utf-8"?>
<sst xmlns="http://schemas.openxmlformats.org/spreadsheetml/2006/main" count="265" uniqueCount="174">
  <si>
    <t>Johnson Electric International AG, Branch in Spain</t>
  </si>
  <si>
    <t>VAT #ESW0394952F</t>
  </si>
  <si>
    <t>Local purchase</t>
  </si>
  <si>
    <t xml:space="preserve">Total Currency amount without VAT </t>
  </si>
  <si>
    <t>Total Currency VAT amount</t>
  </si>
  <si>
    <t>Total Invoice total amount with VAT</t>
  </si>
  <si>
    <t>Total VAT in EUR</t>
  </si>
  <si>
    <t>Total Basis of VAT in EUR</t>
  </si>
  <si>
    <t>Local purchase with 21% VAT</t>
  </si>
  <si>
    <t>Doc Type</t>
  </si>
  <si>
    <t>Inv number</t>
  </si>
  <si>
    <t>Invoice date</t>
  </si>
  <si>
    <t>Delivery date</t>
  </si>
  <si>
    <t>Supplier name</t>
  </si>
  <si>
    <t>Supplier EU VAT number</t>
  </si>
  <si>
    <t>Currency</t>
  </si>
  <si>
    <t xml:space="preserve">Currency amount without VAT </t>
  </si>
  <si>
    <t>Currency VAT amount</t>
  </si>
  <si>
    <t>Invoice total amount with VAT</t>
  </si>
  <si>
    <t>Rate</t>
  </si>
  <si>
    <t>VAT in EUR</t>
  </si>
  <si>
    <t>Basis of VAT in EUR</t>
  </si>
  <si>
    <t>22/04/2025</t>
  </si>
  <si>
    <t>Fernando Manuel de Peralta Ortega</t>
  </si>
  <si>
    <t>EUR</t>
  </si>
  <si>
    <t>21% VAT</t>
  </si>
  <si>
    <t>TAXBACK VAT RECOVERY</t>
  </si>
  <si>
    <t>Local purchase with 0% VAT</t>
  </si>
  <si>
    <t>0% VAT</t>
  </si>
  <si>
    <t>Domestic VAT Recovery Report</t>
  </si>
  <si>
    <t>High Level Overview</t>
  </si>
  <si>
    <t>Company Group</t>
  </si>
  <si>
    <t>Johnson Electric International AG</t>
  </si>
  <si>
    <t>Reporting Period</t>
  </si>
  <si>
    <t>01/01/2025 - 31/01/2026</t>
  </si>
  <si>
    <t>Client Name</t>
  </si>
  <si>
    <t>Origin Country</t>
  </si>
  <si>
    <t>Destination Country</t>
  </si>
  <si>
    <t>Appl ID</t>
  </si>
  <si>
    <t>ApplicationPeriod</t>
  </si>
  <si>
    <t>Net Amount</t>
  </si>
  <si>
    <t>Recoverable Amount</t>
  </si>
  <si>
    <t>Local Currency</t>
  </si>
  <si>
    <t>Exchange Rate</t>
  </si>
  <si>
    <t>Total VAT (EUR)</t>
  </si>
  <si>
    <t>Processing Fee %</t>
  </si>
  <si>
    <t>Processing Fee</t>
  </si>
  <si>
    <t>Vat Corr Inv</t>
  </si>
  <si>
    <t>Corr Fee %</t>
  </si>
  <si>
    <t>Correction Fee</t>
  </si>
  <si>
    <t>Fintua Fee Total</t>
  </si>
  <si>
    <t>Johnson Electric International AG, Sucursal en España</t>
  </si>
  <si>
    <t>Spain</t>
  </si>
  <si>
    <t>01/01/2025 - 31/12/2025</t>
  </si>
  <si>
    <t>14.00%</t>
  </si>
  <si>
    <t>0%</t>
  </si>
  <si>
    <t>Switzerland</t>
  </si>
  <si>
    <t>Italy</t>
  </si>
  <si>
    <t>Johnson Electric Asti srl a socio unico</t>
  </si>
  <si>
    <t>United Kingdom</t>
  </si>
  <si>
    <t>GBP</t>
  </si>
  <si>
    <t>Netherlands</t>
  </si>
  <si>
    <t>6%</t>
  </si>
  <si>
    <t>01/01/2026 - 31/01/2026</t>
  </si>
  <si>
    <t>CHF</t>
  </si>
  <si>
    <t>Germany</t>
  </si>
  <si>
    <t>France</t>
  </si>
  <si>
    <t>Total</t>
  </si>
  <si>
    <t>Data Classification : Confidential</t>
  </si>
  <si>
    <t>Client Id</t>
  </si>
  <si>
    <t>Sales Person Name</t>
  </si>
  <si>
    <t>KAM</t>
  </si>
  <si>
    <t>Customer Status</t>
  </si>
  <si>
    <t>HQ_Sub</t>
  </si>
  <si>
    <t>Supplier Name</t>
  </si>
  <si>
    <t>Supplier Address</t>
  </si>
  <si>
    <t>Post Code</t>
  </si>
  <si>
    <t>Street Name</t>
  </si>
  <si>
    <t>Street Number</t>
  </si>
  <si>
    <t>Supplier VAT Number</t>
  </si>
  <si>
    <t>Supplier_StNr</t>
  </si>
  <si>
    <t>Invoice Id</t>
  </si>
  <si>
    <t>Invoice Date</t>
  </si>
  <si>
    <t>Date Who</t>
  </si>
  <si>
    <t>Tax Point</t>
  </si>
  <si>
    <t>Grid</t>
  </si>
  <si>
    <t>Compl</t>
  </si>
  <si>
    <t>Invoice Status Original</t>
  </si>
  <si>
    <t>Invoice Correction Status</t>
  </si>
  <si>
    <t>Application Sub status</t>
  </si>
  <si>
    <t>Invoice Group</t>
  </si>
  <si>
    <t>Dest Country</t>
  </si>
  <si>
    <t>DestCountryCurrency</t>
  </si>
  <si>
    <t>DVRROE</t>
  </si>
  <si>
    <t>VATRate</t>
  </si>
  <si>
    <t>Total Amount</t>
  </si>
  <si>
    <t>NetAmount</t>
  </si>
  <si>
    <t>VatAmount</t>
  </si>
  <si>
    <t>VATDeductible</t>
  </si>
  <si>
    <t>InvoiceNumber</t>
  </si>
  <si>
    <t>FilingLineId</t>
  </si>
  <si>
    <t>Nature of Goods</t>
  </si>
  <si>
    <t>SentForPaymentDate</t>
  </si>
  <si>
    <t>ConcurExpenseId/Clrefnum</t>
  </si>
  <si>
    <t>EmployeeName</t>
  </si>
  <si>
    <t>EmployeeNumber</t>
  </si>
  <si>
    <t>EmplCompany/Hq</t>
  </si>
  <si>
    <t>EntityCode</t>
  </si>
  <si>
    <t>LedgerCode</t>
  </si>
  <si>
    <t>OrgUnit1</t>
  </si>
  <si>
    <t>OrgUnit2</t>
  </si>
  <si>
    <t>OrgUnit3</t>
  </si>
  <si>
    <t>FirstApprovedDate</t>
  </si>
  <si>
    <t>PaymentType</t>
  </si>
  <si>
    <t>ReportId</t>
  </si>
  <si>
    <t>ReportKey</t>
  </si>
  <si>
    <t>SprinterStatus</t>
  </si>
  <si>
    <t>SprinterSubstatus</t>
  </si>
  <si>
    <t>SprinterPotentialEuro</t>
  </si>
  <si>
    <t>Image Link Path</t>
  </si>
  <si>
    <t>TransactionId</t>
  </si>
  <si>
    <t>CustomField1</t>
  </si>
  <si>
    <t>CustomField2</t>
  </si>
  <si>
    <t>CustomField3</t>
  </si>
  <si>
    <t>CustomField4</t>
  </si>
  <si>
    <t>CustomField5</t>
  </si>
  <si>
    <t>CustomField6</t>
  </si>
  <si>
    <t>CustomField7</t>
  </si>
  <si>
    <t>CustomField8</t>
  </si>
  <si>
    <t>CustomField9</t>
  </si>
  <si>
    <t>CustomField10</t>
  </si>
  <si>
    <t>ClientExpenseType</t>
  </si>
  <si>
    <t>ExpenseAmount</t>
  </si>
  <si>
    <t>ComplianceStatusIds</t>
  </si>
  <si>
    <t>ComplStatus2</t>
  </si>
  <si>
    <t>ApplicationId</t>
  </si>
  <si>
    <t>ApplicationStatus</t>
  </si>
  <si>
    <t>ConcurTaxCodeField</t>
  </si>
  <si>
    <t>AmountReclaimedByClient</t>
  </si>
  <si>
    <t>ConcurIsPersonal</t>
  </si>
  <si>
    <t>ConcurHasVat</t>
  </si>
  <si>
    <t>Location Subdivision</t>
  </si>
  <si>
    <t>Todd Brennan</t>
  </si>
  <si>
    <t>Teodor Milanov</t>
  </si>
  <si>
    <t>Prospect</t>
  </si>
  <si>
    <t>Sub</t>
  </si>
  <si>
    <t>CL Doctor Ferran 19 08860 Castelldefels</t>
  </si>
  <si>
    <t>08860</t>
  </si>
  <si>
    <t>CL Doctor Ferran</t>
  </si>
  <si>
    <t>ES20397420P</t>
  </si>
  <si>
    <t>17/06/2026</t>
  </si>
  <si>
    <t>OK</t>
  </si>
  <si>
    <t>W/Client</t>
  </si>
  <si>
    <t>Setup</t>
  </si>
  <si>
    <t>Report</t>
  </si>
  <si>
    <t>T&amp;E</t>
  </si>
  <si>
    <t>21%</t>
  </si>
  <si>
    <t>S120</t>
  </si>
  <si>
    <t>Professional Services</t>
  </si>
  <si>
    <t>01/04/2025</t>
  </si>
  <si>
    <t>1561900198</t>
  </si>
  <si>
    <t>Stéphane Heuzé</t>
  </si>
  <si>
    <t>JohnsonElectric_NonConcur</t>
  </si>
  <si>
    <t>JEIAG ES</t>
  </si>
  <si>
    <t/>
  </si>
  <si>
    <t>F2025050060</t>
  </si>
  <si>
    <t>Eligible Domestic</t>
  </si>
  <si>
    <t>246446532_pdf_1</t>
  </si>
  <si>
    <t>53120</t>
  </si>
  <si>
    <t>44310</t>
  </si>
  <si>
    <t>JEIAG</t>
  </si>
  <si>
    <t>Others</t>
  </si>
  <si>
    <t>Active</t>
  </si>
  <si>
    <t>JEIAG ES Branch VAT return- Q2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</si>
</sst>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,##0.00000"/>
    <numFmt numFmtId="166" formatCode="\€\ 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rgb="FF0070C0"/>
      <name val="Aptos Narrow"/>
      <family val="2"/>
      <scheme val="minor"/>
    </font>
    <font>
      <sz val="10"/>
      <color theme="1"/>
      <name val="Arial"/>
      <family val="2"/>
    </font>
    <font>
      <sz val="10"/>
      <name val="Aptos Narrow"/>
      <family val="2"/>
      <scheme val="minor"/>
    </font>
    <font>
      <sz val="10"/>
      <color rgb="FF0D0DFF"/>
      <name val="Aptos Narrow"/>
      <family val="2"/>
      <scheme val="minor"/>
    </font>
    <font>
      <b/>
      <sz val="14"/>
      <color rgb="FF3D0F63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"/>
      <family val="2"/>
    </font>
    <font>
      <b/>
      <sz val="13"/>
      <color rgb="FF000000"/>
      <name val="Aptos Narrow"/>
      <family val="2"/>
      <scheme val="minor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b/>
      <sz val="13"/>
      <color rgb="FF000000"/>
      <name val="Arial"/>
      <family val="2"/>
    </font>
    <font>
      <u/>
      <sz val="10"/>
      <color rgb="FF0563C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D0F63"/>
        <bgColor indexed="64"/>
      </patternFill>
    </fill>
    <fill>
      <patternFill patternType="solid">
        <fgColor rgb="FFECE7E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top" wrapText="1"/>
    </xf>
    <xf numFmtId="4" fontId="3" fillId="3" borderId="0" xfId="0" applyNumberFormat="1" applyFont="1" applyFill="1"/>
    <xf numFmtId="164" fontId="3" fillId="3" borderId="0" xfId="0" applyNumberFormat="1" applyFont="1" applyFill="1"/>
    <xf numFmtId="0" fontId="2" fillId="0" borderId="0" xfId="0" applyFont="1" applyAlignment="1">
      <alignment horizontal="center" vertical="top" wrapText="1"/>
    </xf>
    <xf numFmtId="0" fontId="6" fillId="0" borderId="0" xfId="0" applyFont="1"/>
    <xf numFmtId="0" fontId="7" fillId="0" borderId="0" xfId="0" applyFont="1"/>
    <xf numFmtId="1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4" fontId="8" fillId="0" borderId="0" xfId="0" applyNumberFormat="1" applyFont="1"/>
    <xf numFmtId="4" fontId="9" fillId="0" borderId="0" xfId="0" applyNumberFormat="1" applyFont="1"/>
    <xf numFmtId="9" fontId="9" fillId="0" borderId="0" xfId="1" applyFont="1" applyFill="1"/>
    <xf numFmtId="165" fontId="9" fillId="0" borderId="0" xfId="0" applyNumberFormat="1" applyFont="1"/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 wrapText="1"/>
    </xf>
    <xf numFmtId="0" fontId="8" fillId="4" borderId="0" xfId="0" applyFont="1" applyFill="1" applyAlignment="1">
      <alignment horizontal="center"/>
    </xf>
    <xf numFmtId="0" fontId="8" fillId="4" borderId="0" xfId="0" applyFont="1" applyFill="1"/>
    <xf numFmtId="4" fontId="9" fillId="4" borderId="0" xfId="0" applyNumberFormat="1" applyFont="1" applyFill="1"/>
    <xf numFmtId="9" fontId="9" fillId="4" borderId="0" xfId="1" applyFont="1" applyFill="1"/>
    <xf numFmtId="0" fontId="0" fillId="5" borderId="0" xfId="0" applyFill="1"/>
    <xf numFmtId="0" fontId="13" fillId="6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4" fillId="6" borderId="0" xfId="0" applyFont="1" applyFill="1" applyAlignment="1">
      <alignment horizontal="center"/>
    </xf>
    <xf numFmtId="166" fontId="15" fillId="6" borderId="0" xfId="0" applyNumberFormat="1" applyFont="1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16" fillId="8" borderId="0" xfId="0" applyFont="1" applyFill="1"/>
    <xf numFmtId="0" fontId="17" fillId="6" borderId="0" xfId="0" applyFont="1" applyFill="1" applyAlignment="1">
      <alignment horizontal="center" vertical="center" wrapText="1"/>
    </xf>
    <xf numFmtId="0" fontId="17" fillId="7" borderId="0" xfId="0" applyFont="1" applyFill="1" applyAlignment="1">
      <alignment horizontal="center" vertical="center" wrapText="1"/>
    </xf>
    <xf numFmtId="0" fontId="7" fillId="7" borderId="0" xfId="0" applyFont="1" applyFill="1"/>
    <xf numFmtId="0" fontId="18" fillId="0" borderId="0" xfId="0" applyFont="1"/>
    <xf numFmtId="0" fontId="0" fillId="6" borderId="0" xfId="0" applyFill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2" fillId="5" borderId="0" xfId="0" applyFont="1" applyFill="1" applyAlignment="1">
      <alignment horizontal="right" vertical="center"/>
    </xf>
    <xf numFmtId="0" fontId="12" fillId="5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vatconnect-analytics.fintua.com/download?download_type=pdf&amp;client_crm_id=70252502&amp;invoice_id=246446532&amp;part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D759-973C-4829-B88C-C33C6C1CAE42}">
  <dimension ref="A2:BY44"/>
  <sheetViews>
    <sheetView tabSelected="1" workbookViewId="0">
      <selection activeCell="B13" sqref="B13"/>
    </sheetView>
  </sheetViews>
  <sheetFormatPr defaultColWidth="21.85546875" defaultRowHeight="13.5" x14ac:dyDescent="0.25"/>
  <cols>
    <col min="1" max="1" width="7.85546875" style="1" customWidth="1"/>
    <col min="2" max="2" width="45.5703125" style="1" bestFit="1" customWidth="1"/>
    <col min="3" max="3" width="10.5703125" style="1" bestFit="1" customWidth="1"/>
    <col min="4" max="4" width="12.42578125" style="1" bestFit="1" customWidth="1"/>
    <col min="5" max="5" width="34.42578125" style="1" customWidth="1"/>
    <col min="6" max="6" width="13.5703125" style="1" customWidth="1"/>
    <col min="7" max="7" width="9.140625" style="1" bestFit="1" customWidth="1"/>
    <col min="8" max="8" width="19.140625" style="1" customWidth="1"/>
    <col min="9" max="9" width="12.5703125" style="1" customWidth="1"/>
    <col min="10" max="10" width="16" style="1" bestFit="1" customWidth="1"/>
    <col min="11" max="12" width="11.140625" style="1" bestFit="1" customWidth="1"/>
    <col min="13" max="13" width="13.85546875" style="1" bestFit="1" customWidth="1"/>
    <col min="14" max="16384" width="21.85546875" style="1"/>
  </cols>
  <sheetData>
    <row r="2" spans="1:15" x14ac:dyDescent="0.25">
      <c r="B2" s="2" t="s">
        <v>0</v>
      </c>
    </row>
    <row r="3" spans="1:15" x14ac:dyDescent="0.25">
      <c r="B3" s="2" t="s">
        <v>1</v>
      </c>
    </row>
    <row r="4" spans="1:15" x14ac:dyDescent="0.25">
      <c r="B4" s="2" t="s">
        <v>2</v>
      </c>
    </row>
    <row r="5" spans="1:15" x14ac:dyDescent="0.25">
      <c r="B5" s="2" t="s">
        <v>173</v>
      </c>
    </row>
    <row r="6" spans="1:15" x14ac:dyDescent="0.25">
      <c r="B6" s="2"/>
    </row>
    <row r="7" spans="1:15" ht="15" x14ac:dyDescent="0.25">
      <c r="B7" s="3"/>
    </row>
    <row r="8" spans="1:15" ht="27" x14ac:dyDescent="0.25">
      <c r="H8" s="4" t="s">
        <v>3</v>
      </c>
      <c r="I8" s="4" t="s">
        <v>4</v>
      </c>
      <c r="J8" s="4" t="s">
        <v>5</v>
      </c>
      <c r="K8" s="4"/>
      <c r="L8" s="4" t="s">
        <v>6</v>
      </c>
      <c r="M8" s="4" t="s">
        <v>7</v>
      </c>
    </row>
    <row r="9" spans="1:15" ht="15" x14ac:dyDescent="0.25">
      <c r="B9" s="3" t="s">
        <v>8</v>
      </c>
      <c r="H9" s="5">
        <f>SUM(H11:H13)</f>
        <v>16.920000000000002</v>
      </c>
      <c r="I9" s="6">
        <f>SUM(I11:I13)</f>
        <v>3.55</v>
      </c>
      <c r="J9" s="6">
        <f>SUM(J11:J13)</f>
        <v>20.470000000000002</v>
      </c>
      <c r="K9" s="5"/>
      <c r="L9" s="5">
        <f>ROUNDUP(SUM(L11:L13),2)</f>
        <v>3.55</v>
      </c>
      <c r="M9" s="5">
        <f>SUM(M11:M13)</f>
        <v>16.920000000000002</v>
      </c>
    </row>
    <row r="10" spans="1:15" s="7" customFormat="1" ht="27" x14ac:dyDescent="0.25">
      <c r="A10" s="7" t="s">
        <v>9</v>
      </c>
      <c r="B10" s="4" t="s">
        <v>10</v>
      </c>
      <c r="C10" s="4" t="s">
        <v>11</v>
      </c>
      <c r="D10" s="4" t="s">
        <v>12</v>
      </c>
      <c r="E10" s="4" t="s">
        <v>13</v>
      </c>
      <c r="F10" s="4" t="s">
        <v>14</v>
      </c>
      <c r="G10" s="4" t="s">
        <v>15</v>
      </c>
      <c r="H10" s="4" t="s">
        <v>16</v>
      </c>
      <c r="I10" s="4" t="s">
        <v>17</v>
      </c>
      <c r="J10" s="4" t="s">
        <v>18</v>
      </c>
      <c r="K10" s="4" t="s">
        <v>19</v>
      </c>
      <c r="L10" s="4" t="s">
        <v>20</v>
      </c>
      <c r="M10" s="4" t="s">
        <v>21</v>
      </c>
    </row>
    <row r="11" spans="1:15" s="8" customFormat="1" x14ac:dyDescent="0.25">
      <c r="B11" s="9">
        <v>246446532</v>
      </c>
      <c r="C11" s="9" t="s">
        <v>22</v>
      </c>
      <c r="D11" s="10"/>
      <c r="E11" s="9" t="s">
        <v>23</v>
      </c>
      <c r="F11" s="11"/>
      <c r="G11" s="11" t="s">
        <v>24</v>
      </c>
      <c r="H11" s="12">
        <f>AE44</f>
        <v>16.920000000000002</v>
      </c>
      <c r="I11" s="13">
        <f>AG44</f>
        <v>3.55</v>
      </c>
      <c r="J11" s="13">
        <f t="shared" ref="J11" si="0">H11+I11</f>
        <v>20.470000000000002</v>
      </c>
      <c r="K11" s="14">
        <f>I11/H11</f>
        <v>0.2098108747044917</v>
      </c>
      <c r="L11" s="15">
        <f>ROUNDUP(I11, 2)</f>
        <v>3.55</v>
      </c>
      <c r="M11" s="13">
        <f>H11</f>
        <v>16.920000000000002</v>
      </c>
      <c r="N11" s="16" t="s">
        <v>25</v>
      </c>
      <c r="O11" s="17" t="s">
        <v>26</v>
      </c>
    </row>
    <row r="12" spans="1:15" s="8" customFormat="1" x14ac:dyDescent="0.25">
      <c r="B12" s="18"/>
      <c r="C12" s="10"/>
      <c r="D12" s="10"/>
      <c r="E12" s="16"/>
      <c r="F12" s="11"/>
      <c r="G12" s="11"/>
      <c r="H12" s="12"/>
      <c r="I12" s="13"/>
      <c r="J12" s="13"/>
      <c r="K12" s="14"/>
      <c r="L12" s="15"/>
      <c r="M12" s="13"/>
      <c r="N12" s="16"/>
      <c r="O12" s="16"/>
    </row>
    <row r="13" spans="1:15" x14ac:dyDescent="0.25"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spans="1:15" ht="27" x14ac:dyDescent="0.25">
      <c r="B14" s="16"/>
      <c r="C14" s="16"/>
      <c r="D14" s="16"/>
      <c r="E14" s="16"/>
      <c r="F14" s="16"/>
      <c r="G14" s="16"/>
      <c r="H14" s="4" t="s">
        <v>3</v>
      </c>
      <c r="I14" s="4" t="s">
        <v>4</v>
      </c>
      <c r="J14" s="4" t="s">
        <v>5</v>
      </c>
      <c r="K14" s="4"/>
      <c r="L14" s="4" t="s">
        <v>6</v>
      </c>
      <c r="M14" s="4" t="s">
        <v>7</v>
      </c>
      <c r="N14" s="16"/>
      <c r="O14" s="16"/>
    </row>
    <row r="15" spans="1:15" ht="15" x14ac:dyDescent="0.25">
      <c r="B15" s="3" t="s">
        <v>27</v>
      </c>
      <c r="C15" s="16"/>
      <c r="D15" s="16"/>
      <c r="E15" s="16"/>
      <c r="F15" s="16"/>
      <c r="G15" s="16"/>
      <c r="H15" s="5">
        <f>SUM(H17:H22)</f>
        <v>0</v>
      </c>
      <c r="I15" s="5">
        <f>SUM(I17:I22)</f>
        <v>0</v>
      </c>
      <c r="J15" s="5">
        <f>SUM(J17:J22)</f>
        <v>0</v>
      </c>
      <c r="K15" s="5"/>
      <c r="L15" s="5">
        <f>SUM(L17:L22)</f>
        <v>0</v>
      </c>
      <c r="M15" s="5">
        <f>SUM(M17:M22)</f>
        <v>0</v>
      </c>
      <c r="N15" s="16"/>
      <c r="O15" s="16"/>
    </row>
    <row r="16" spans="1:15" ht="27" x14ac:dyDescent="0.25">
      <c r="B16" s="4" t="s">
        <v>10</v>
      </c>
      <c r="C16" s="4" t="s">
        <v>11</v>
      </c>
      <c r="D16" s="4" t="s">
        <v>12</v>
      </c>
      <c r="E16" s="4" t="s">
        <v>13</v>
      </c>
      <c r="F16" s="4" t="s">
        <v>14</v>
      </c>
      <c r="G16" s="4" t="s">
        <v>15</v>
      </c>
      <c r="H16" s="4" t="s">
        <v>16</v>
      </c>
      <c r="I16" s="4" t="s">
        <v>17</v>
      </c>
      <c r="J16" s="4" t="s">
        <v>18</v>
      </c>
      <c r="K16" s="4" t="s">
        <v>19</v>
      </c>
      <c r="L16" s="4" t="s">
        <v>20</v>
      </c>
      <c r="M16" s="4" t="s">
        <v>21</v>
      </c>
      <c r="N16" s="16"/>
      <c r="O16" s="16"/>
    </row>
    <row r="17" spans="2:17" x14ac:dyDescent="0.25">
      <c r="B17" s="19"/>
      <c r="C17" s="19"/>
      <c r="D17" s="20"/>
      <c r="E17" s="20"/>
      <c r="F17" s="19"/>
      <c r="G17" s="19"/>
      <c r="H17" s="20"/>
      <c r="I17" s="21">
        <v>0</v>
      </c>
      <c r="J17" s="21">
        <f t="shared" ref="J17" si="1">H17+I17</f>
        <v>0</v>
      </c>
      <c r="K17" s="22" t="e">
        <f t="shared" ref="K17" si="2">I17/H17</f>
        <v>#DIV/0!</v>
      </c>
      <c r="L17" s="21">
        <f t="shared" ref="L17" si="3">I17</f>
        <v>0</v>
      </c>
      <c r="M17" s="21">
        <f t="shared" ref="M17" si="4">H17</f>
        <v>0</v>
      </c>
      <c r="N17" s="16" t="s">
        <v>28</v>
      </c>
      <c r="O17" s="16"/>
    </row>
    <row r="21" spans="2:17" ht="18" x14ac:dyDescent="0.25">
      <c r="B21" s="36" t="s">
        <v>29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</row>
    <row r="22" spans="2:17" ht="18" x14ac:dyDescent="0.25">
      <c r="B22" s="37" t="s">
        <v>30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</row>
    <row r="23" spans="2:17" ht="15" x14ac:dyDescent="0.25"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</row>
    <row r="24" spans="2:17" ht="15" x14ac:dyDescent="0.25">
      <c r="B24" s="38" t="s">
        <v>31</v>
      </c>
      <c r="C24" s="38"/>
      <c r="D24" s="38"/>
      <c r="E24" s="23"/>
      <c r="F24" s="39" t="s">
        <v>32</v>
      </c>
      <c r="G24" s="39"/>
      <c r="H24" s="39"/>
      <c r="I24" s="23"/>
      <c r="J24" s="23"/>
      <c r="K24" s="23"/>
      <c r="L24" s="23"/>
      <c r="M24" s="23"/>
      <c r="N24" s="23"/>
      <c r="O24" s="23"/>
      <c r="P24" s="23"/>
      <c r="Q24" s="23"/>
    </row>
    <row r="25" spans="2:17" ht="15" x14ac:dyDescent="0.25">
      <c r="B25" s="38" t="s">
        <v>33</v>
      </c>
      <c r="C25" s="38"/>
      <c r="D25" s="38"/>
      <c r="E25" s="23"/>
      <c r="F25" s="39" t="s">
        <v>34</v>
      </c>
      <c r="G25" s="39"/>
      <c r="H25" s="39"/>
      <c r="I25" s="23"/>
      <c r="J25" s="23"/>
      <c r="K25" s="23"/>
      <c r="L25" s="23"/>
      <c r="M25" s="23"/>
      <c r="N25" s="23"/>
      <c r="O25" s="23"/>
      <c r="P25" s="23"/>
      <c r="Q25" s="23"/>
    </row>
    <row r="26" spans="2:17" ht="15" x14ac:dyDescent="0.25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</row>
    <row r="27" spans="2:17" ht="34.5" x14ac:dyDescent="0.25">
      <c r="B27" s="24" t="s">
        <v>35</v>
      </c>
      <c r="C27" s="24" t="s">
        <v>36</v>
      </c>
      <c r="D27" s="24" t="s">
        <v>37</v>
      </c>
      <c r="E27" s="24" t="s">
        <v>38</v>
      </c>
      <c r="F27" s="24" t="s">
        <v>39</v>
      </c>
      <c r="G27" s="24" t="s">
        <v>40</v>
      </c>
      <c r="H27" s="24" t="s">
        <v>41</v>
      </c>
      <c r="I27" s="24" t="s">
        <v>42</v>
      </c>
      <c r="J27" s="24" t="s">
        <v>43</v>
      </c>
      <c r="K27" s="24" t="s">
        <v>44</v>
      </c>
      <c r="L27" s="24" t="s">
        <v>45</v>
      </c>
      <c r="M27" s="24" t="s">
        <v>46</v>
      </c>
      <c r="N27" s="24" t="s">
        <v>47</v>
      </c>
      <c r="O27" s="24" t="s">
        <v>48</v>
      </c>
      <c r="P27" s="24" t="s">
        <v>49</v>
      </c>
      <c r="Q27" s="24" t="s">
        <v>50</v>
      </c>
    </row>
    <row r="28" spans="2:17" x14ac:dyDescent="0.25">
      <c r="B28" s="25" t="s">
        <v>51</v>
      </c>
      <c r="C28" s="25" t="s">
        <v>52</v>
      </c>
      <c r="D28" s="25" t="s">
        <v>52</v>
      </c>
      <c r="E28" s="25">
        <v>91650712</v>
      </c>
      <c r="F28" s="25" t="s">
        <v>53</v>
      </c>
      <c r="G28" s="25">
        <v>16.920000000000002</v>
      </c>
      <c r="H28" s="25">
        <v>3.55</v>
      </c>
      <c r="I28" s="25" t="s">
        <v>24</v>
      </c>
      <c r="J28" s="25">
        <v>1</v>
      </c>
      <c r="K28" s="25">
        <f t="shared" ref="K28:K38" si="5">(H28 * J28)</f>
        <v>3.55</v>
      </c>
      <c r="L28" s="25" t="s">
        <v>54</v>
      </c>
      <c r="M28" s="25">
        <v>0.49</v>
      </c>
      <c r="N28" s="25">
        <v>0</v>
      </c>
      <c r="O28" s="25" t="s">
        <v>55</v>
      </c>
      <c r="P28" s="25">
        <v>0</v>
      </c>
      <c r="Q28" s="25">
        <v>0.5</v>
      </c>
    </row>
    <row r="29" spans="2:17" x14ac:dyDescent="0.25">
      <c r="B29" s="26" t="s">
        <v>32</v>
      </c>
      <c r="C29" s="26" t="s">
        <v>56</v>
      </c>
      <c r="D29" s="26" t="s">
        <v>57</v>
      </c>
      <c r="E29" s="26">
        <v>91650706</v>
      </c>
      <c r="F29" s="26" t="s">
        <v>53</v>
      </c>
      <c r="G29" s="26">
        <v>145.46</v>
      </c>
      <c r="H29" s="26">
        <v>14.55</v>
      </c>
      <c r="I29" s="26" t="s">
        <v>24</v>
      </c>
      <c r="J29" s="26">
        <v>1</v>
      </c>
      <c r="K29" s="26">
        <f t="shared" si="5"/>
        <v>14.55</v>
      </c>
      <c r="L29" s="26" t="s">
        <v>54</v>
      </c>
      <c r="M29" s="26">
        <v>2.0299999999999998</v>
      </c>
      <c r="N29" s="26">
        <v>0</v>
      </c>
      <c r="O29" s="26" t="s">
        <v>55</v>
      </c>
      <c r="P29" s="26">
        <v>0</v>
      </c>
      <c r="Q29" s="26">
        <v>2.04</v>
      </c>
    </row>
    <row r="30" spans="2:17" x14ac:dyDescent="0.25">
      <c r="B30" s="26" t="s">
        <v>58</v>
      </c>
      <c r="C30" s="26" t="s">
        <v>57</v>
      </c>
      <c r="D30" s="26" t="s">
        <v>59</v>
      </c>
      <c r="E30" s="26">
        <v>91652095</v>
      </c>
      <c r="F30" s="26" t="s">
        <v>53</v>
      </c>
      <c r="G30" s="26">
        <v>329.33</v>
      </c>
      <c r="H30" s="26">
        <v>65.86</v>
      </c>
      <c r="I30" s="26" t="s">
        <v>60</v>
      </c>
      <c r="J30" s="26">
        <v>1.1589</v>
      </c>
      <c r="K30" s="26">
        <f t="shared" si="5"/>
        <v>76.325153999999998</v>
      </c>
      <c r="L30" s="26" t="s">
        <v>54</v>
      </c>
      <c r="M30" s="26">
        <v>10.68</v>
      </c>
      <c r="N30" s="26">
        <v>0</v>
      </c>
      <c r="O30" s="26" t="s">
        <v>55</v>
      </c>
      <c r="P30" s="26">
        <v>0</v>
      </c>
      <c r="Q30" s="26">
        <v>10.69</v>
      </c>
    </row>
    <row r="31" spans="2:17" x14ac:dyDescent="0.25">
      <c r="B31" s="26" t="s">
        <v>32</v>
      </c>
      <c r="C31" s="26" t="s">
        <v>56</v>
      </c>
      <c r="D31" s="26" t="s">
        <v>61</v>
      </c>
      <c r="E31" s="26">
        <v>91651334</v>
      </c>
      <c r="F31" s="26" t="s">
        <v>53</v>
      </c>
      <c r="G31" s="26">
        <v>904.44</v>
      </c>
      <c r="H31" s="26">
        <v>114.44</v>
      </c>
      <c r="I31" s="26" t="s">
        <v>24</v>
      </c>
      <c r="J31" s="26">
        <v>1</v>
      </c>
      <c r="K31" s="26">
        <f t="shared" si="5"/>
        <v>114.44</v>
      </c>
      <c r="L31" s="26" t="s">
        <v>54</v>
      </c>
      <c r="M31" s="26">
        <v>16.02</v>
      </c>
      <c r="N31" s="26">
        <v>84.14</v>
      </c>
      <c r="O31" s="26" t="s">
        <v>62</v>
      </c>
      <c r="P31" s="26">
        <v>5.04</v>
      </c>
      <c r="Q31" s="26">
        <v>21.07</v>
      </c>
    </row>
    <row r="32" spans="2:17" x14ac:dyDescent="0.25">
      <c r="B32" s="26" t="s">
        <v>32</v>
      </c>
      <c r="C32" s="26" t="s">
        <v>56</v>
      </c>
      <c r="D32" s="26" t="s">
        <v>56</v>
      </c>
      <c r="E32" s="26">
        <v>91650718</v>
      </c>
      <c r="F32" s="26" t="s">
        <v>63</v>
      </c>
      <c r="G32" s="26">
        <v>1669.53</v>
      </c>
      <c r="H32" s="26">
        <v>135.22999999999999</v>
      </c>
      <c r="I32" s="26" t="s">
        <v>64</v>
      </c>
      <c r="J32" s="26">
        <v>1.0835999999999999</v>
      </c>
      <c r="K32" s="26">
        <f t="shared" si="5"/>
        <v>146.53522799999996</v>
      </c>
      <c r="L32" s="26" t="s">
        <v>54</v>
      </c>
      <c r="M32" s="26">
        <v>20.51</v>
      </c>
      <c r="N32" s="26">
        <v>0</v>
      </c>
      <c r="O32" s="26" t="s">
        <v>55</v>
      </c>
      <c r="P32" s="26">
        <v>0</v>
      </c>
      <c r="Q32" s="26">
        <v>20.51</v>
      </c>
    </row>
    <row r="33" spans="2:77" x14ac:dyDescent="0.25">
      <c r="B33" s="26" t="s">
        <v>32</v>
      </c>
      <c r="C33" s="26" t="s">
        <v>56</v>
      </c>
      <c r="D33" s="26" t="s">
        <v>65</v>
      </c>
      <c r="E33" s="26">
        <v>91650698</v>
      </c>
      <c r="F33" s="26" t="s">
        <v>63</v>
      </c>
      <c r="G33" s="26">
        <v>990.65</v>
      </c>
      <c r="H33" s="26">
        <v>135.80000000000001</v>
      </c>
      <c r="I33" s="26" t="s">
        <v>24</v>
      </c>
      <c r="J33" s="26">
        <v>1</v>
      </c>
      <c r="K33" s="26">
        <f t="shared" si="5"/>
        <v>135.80000000000001</v>
      </c>
      <c r="L33" s="26" t="s">
        <v>54</v>
      </c>
      <c r="M33" s="26">
        <v>19.010000000000002</v>
      </c>
      <c r="N33" s="26">
        <v>0</v>
      </c>
      <c r="O33" s="26" t="s">
        <v>55</v>
      </c>
      <c r="P33" s="26">
        <v>0</v>
      </c>
      <c r="Q33" s="26">
        <v>19.010000000000002</v>
      </c>
    </row>
    <row r="34" spans="2:77" x14ac:dyDescent="0.25">
      <c r="B34" s="26" t="s">
        <v>32</v>
      </c>
      <c r="C34" s="26" t="s">
        <v>56</v>
      </c>
      <c r="D34" s="26" t="s">
        <v>59</v>
      </c>
      <c r="E34" s="26">
        <v>91651328</v>
      </c>
      <c r="F34" s="26" t="s">
        <v>53</v>
      </c>
      <c r="G34" s="26">
        <v>813.81</v>
      </c>
      <c r="H34" s="26">
        <v>162.77000000000001</v>
      </c>
      <c r="I34" s="26" t="s">
        <v>60</v>
      </c>
      <c r="J34" s="26">
        <v>1.1589</v>
      </c>
      <c r="K34" s="26">
        <f t="shared" si="5"/>
        <v>188.63415300000003</v>
      </c>
      <c r="L34" s="26" t="s">
        <v>54</v>
      </c>
      <c r="M34" s="26">
        <v>26.4</v>
      </c>
      <c r="N34" s="26">
        <v>0</v>
      </c>
      <c r="O34" s="26" t="s">
        <v>55</v>
      </c>
      <c r="P34" s="26">
        <v>0</v>
      </c>
      <c r="Q34" s="26">
        <v>26.41</v>
      </c>
    </row>
    <row r="35" spans="2:77" x14ac:dyDescent="0.25">
      <c r="B35" s="26" t="s">
        <v>58</v>
      </c>
      <c r="C35" s="26" t="s">
        <v>57</v>
      </c>
      <c r="D35" s="26" t="s">
        <v>66</v>
      </c>
      <c r="E35" s="26">
        <v>91651147</v>
      </c>
      <c r="F35" s="26" t="s">
        <v>53</v>
      </c>
      <c r="G35" s="26">
        <v>1476.81</v>
      </c>
      <c r="H35" s="26">
        <v>163.43</v>
      </c>
      <c r="I35" s="26" t="s">
        <v>24</v>
      </c>
      <c r="J35" s="26">
        <v>1</v>
      </c>
      <c r="K35" s="26">
        <f t="shared" si="5"/>
        <v>163.43</v>
      </c>
      <c r="L35" s="26" t="s">
        <v>54</v>
      </c>
      <c r="M35" s="26">
        <v>22.88</v>
      </c>
      <c r="N35" s="26">
        <v>0</v>
      </c>
      <c r="O35" s="26" t="s">
        <v>55</v>
      </c>
      <c r="P35" s="26">
        <v>0</v>
      </c>
      <c r="Q35" s="26">
        <v>22.88</v>
      </c>
    </row>
    <row r="36" spans="2:77" x14ac:dyDescent="0.25">
      <c r="B36" s="26" t="s">
        <v>32</v>
      </c>
      <c r="C36" s="26" t="s">
        <v>56</v>
      </c>
      <c r="D36" s="26" t="s">
        <v>66</v>
      </c>
      <c r="E36" s="26">
        <v>91650692</v>
      </c>
      <c r="F36" s="26" t="s">
        <v>53</v>
      </c>
      <c r="G36" s="26">
        <v>2619.7399999999998</v>
      </c>
      <c r="H36" s="26">
        <v>352.58</v>
      </c>
      <c r="I36" s="26" t="s">
        <v>24</v>
      </c>
      <c r="J36" s="26">
        <v>1</v>
      </c>
      <c r="K36" s="26">
        <f t="shared" si="5"/>
        <v>352.58</v>
      </c>
      <c r="L36" s="26" t="s">
        <v>54</v>
      </c>
      <c r="M36" s="26">
        <v>49.36</v>
      </c>
      <c r="N36" s="26">
        <v>0</v>
      </c>
      <c r="O36" s="26" t="s">
        <v>55</v>
      </c>
      <c r="P36" s="26">
        <v>0</v>
      </c>
      <c r="Q36" s="26">
        <v>49.36</v>
      </c>
    </row>
    <row r="37" spans="2:77" x14ac:dyDescent="0.25">
      <c r="B37" s="26" t="s">
        <v>32</v>
      </c>
      <c r="C37" s="26" t="s">
        <v>56</v>
      </c>
      <c r="D37" s="26" t="s">
        <v>56</v>
      </c>
      <c r="E37" s="26">
        <v>91650716</v>
      </c>
      <c r="F37" s="26" t="s">
        <v>53</v>
      </c>
      <c r="G37" s="26">
        <v>70388.77</v>
      </c>
      <c r="H37" s="26">
        <v>5445.58</v>
      </c>
      <c r="I37" s="26" t="s">
        <v>64</v>
      </c>
      <c r="J37" s="26">
        <v>1.0835999999999999</v>
      </c>
      <c r="K37" s="26">
        <f t="shared" si="5"/>
        <v>5900.8304879999996</v>
      </c>
      <c r="L37" s="26" t="s">
        <v>54</v>
      </c>
      <c r="M37" s="26">
        <v>826.11</v>
      </c>
      <c r="N37" s="26">
        <v>76.349999999999994</v>
      </c>
      <c r="O37" s="26" t="s">
        <v>62</v>
      </c>
      <c r="P37" s="26">
        <v>4.58</v>
      </c>
      <c r="Q37" s="26">
        <v>830.7</v>
      </c>
    </row>
    <row r="38" spans="2:77" x14ac:dyDescent="0.25">
      <c r="B38" s="26" t="s">
        <v>32</v>
      </c>
      <c r="C38" s="26" t="s">
        <v>56</v>
      </c>
      <c r="D38" s="26" t="s">
        <v>65</v>
      </c>
      <c r="E38" s="26">
        <v>91650696</v>
      </c>
      <c r="F38" s="26" t="s">
        <v>53</v>
      </c>
      <c r="G38" s="26">
        <v>48465.18</v>
      </c>
      <c r="H38" s="26">
        <v>5566.62</v>
      </c>
      <c r="I38" s="26" t="s">
        <v>24</v>
      </c>
      <c r="J38" s="26">
        <v>1</v>
      </c>
      <c r="K38" s="26">
        <f t="shared" si="5"/>
        <v>5566.62</v>
      </c>
      <c r="L38" s="26" t="s">
        <v>54</v>
      </c>
      <c r="M38" s="26">
        <v>779.32</v>
      </c>
      <c r="N38" s="26">
        <v>308.33999999999997</v>
      </c>
      <c r="O38" s="26" t="s">
        <v>62</v>
      </c>
      <c r="P38" s="26">
        <v>18.5</v>
      </c>
      <c r="Q38" s="26">
        <v>797.83</v>
      </c>
    </row>
    <row r="39" spans="2:77" ht="15" x14ac:dyDescent="0.25">
      <c r="B39" s="35"/>
      <c r="C39" s="35"/>
      <c r="D39" s="35"/>
      <c r="E39" s="35"/>
      <c r="F39" s="35"/>
      <c r="G39" s="35"/>
      <c r="H39" s="35"/>
      <c r="I39" s="35"/>
      <c r="J39" s="27" t="s">
        <v>67</v>
      </c>
      <c r="K39" s="28">
        <f>SUM(K28:K38)</f>
        <v>12663.295022999999</v>
      </c>
      <c r="L39" s="29"/>
      <c r="M39" s="28">
        <f>SUM(M28:M38)</f>
        <v>1772.81</v>
      </c>
      <c r="N39" s="28">
        <f>SUM(N28:N38)</f>
        <v>468.83</v>
      </c>
      <c r="O39" s="29"/>
      <c r="P39" s="28">
        <f>SUM(P28:P38)</f>
        <v>28.12</v>
      </c>
      <c r="Q39" s="28">
        <f>SUM(Q28:Q38)</f>
        <v>1801</v>
      </c>
    </row>
    <row r="40" spans="2:77" ht="15" x14ac:dyDescent="0.25">
      <c r="B40" s="30" t="s">
        <v>68</v>
      </c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</row>
    <row r="43" spans="2:77" ht="49.5" x14ac:dyDescent="0.25">
      <c r="B43" s="31" t="s">
        <v>69</v>
      </c>
      <c r="C43" s="31" t="s">
        <v>35</v>
      </c>
      <c r="D43" s="31" t="s">
        <v>36</v>
      </c>
      <c r="E43" s="31" t="s">
        <v>70</v>
      </c>
      <c r="F43" s="31" t="s">
        <v>71</v>
      </c>
      <c r="G43" s="31" t="s">
        <v>72</v>
      </c>
      <c r="H43" s="31" t="s">
        <v>73</v>
      </c>
      <c r="I43" s="31" t="s">
        <v>74</v>
      </c>
      <c r="J43" s="31" t="s">
        <v>75</v>
      </c>
      <c r="K43" s="31" t="s">
        <v>76</v>
      </c>
      <c r="L43" s="31" t="s">
        <v>77</v>
      </c>
      <c r="M43" s="31" t="s">
        <v>78</v>
      </c>
      <c r="N43" s="31" t="s">
        <v>79</v>
      </c>
      <c r="O43" s="31" t="s">
        <v>80</v>
      </c>
      <c r="P43" s="31" t="s">
        <v>81</v>
      </c>
      <c r="Q43" s="31" t="s">
        <v>82</v>
      </c>
      <c r="R43" s="31" t="s">
        <v>83</v>
      </c>
      <c r="S43" s="31" t="s">
        <v>84</v>
      </c>
      <c r="T43" s="31" t="s">
        <v>85</v>
      </c>
      <c r="U43" s="31" t="s">
        <v>86</v>
      </c>
      <c r="V43" s="31" t="s">
        <v>87</v>
      </c>
      <c r="W43" s="31" t="s">
        <v>88</v>
      </c>
      <c r="X43" s="31" t="s">
        <v>89</v>
      </c>
      <c r="Y43" s="31" t="s">
        <v>90</v>
      </c>
      <c r="Z43" s="31" t="s">
        <v>91</v>
      </c>
      <c r="AA43" s="31" t="s">
        <v>92</v>
      </c>
      <c r="AB43" s="31" t="s">
        <v>93</v>
      </c>
      <c r="AC43" s="31" t="s">
        <v>94</v>
      </c>
      <c r="AD43" s="31" t="s">
        <v>95</v>
      </c>
      <c r="AE43" s="31" t="s">
        <v>96</v>
      </c>
      <c r="AF43" s="31" t="s">
        <v>97</v>
      </c>
      <c r="AG43" s="32" t="s">
        <v>98</v>
      </c>
      <c r="AH43" s="31" t="s">
        <v>99</v>
      </c>
      <c r="AI43" s="31" t="s">
        <v>100</v>
      </c>
      <c r="AJ43" s="31" t="s">
        <v>101</v>
      </c>
      <c r="AK43" s="31" t="s">
        <v>102</v>
      </c>
      <c r="AL43" s="31" t="s">
        <v>103</v>
      </c>
      <c r="AM43" s="31" t="s">
        <v>104</v>
      </c>
      <c r="AN43" s="31" t="s">
        <v>105</v>
      </c>
      <c r="AO43" s="31" t="s">
        <v>106</v>
      </c>
      <c r="AP43" s="31" t="s">
        <v>107</v>
      </c>
      <c r="AQ43" s="31" t="s">
        <v>108</v>
      </c>
      <c r="AR43" s="31" t="s">
        <v>109</v>
      </c>
      <c r="AS43" s="31" t="s">
        <v>110</v>
      </c>
      <c r="AT43" s="31" t="s">
        <v>111</v>
      </c>
      <c r="AU43" s="31" t="s">
        <v>112</v>
      </c>
      <c r="AV43" s="31" t="s">
        <v>113</v>
      </c>
      <c r="AW43" s="31" t="s">
        <v>114</v>
      </c>
      <c r="AX43" s="31" t="s">
        <v>115</v>
      </c>
      <c r="AY43" s="31" t="s">
        <v>116</v>
      </c>
      <c r="AZ43" s="31" t="s">
        <v>117</v>
      </c>
      <c r="BA43" s="31" t="s">
        <v>118</v>
      </c>
      <c r="BB43" s="31" t="s">
        <v>119</v>
      </c>
      <c r="BC43" s="31" t="s">
        <v>120</v>
      </c>
      <c r="BD43" s="31" t="s">
        <v>121</v>
      </c>
      <c r="BE43" s="31" t="s">
        <v>122</v>
      </c>
      <c r="BF43" s="31" t="s">
        <v>123</v>
      </c>
      <c r="BG43" s="31" t="s">
        <v>124</v>
      </c>
      <c r="BH43" s="31" t="s">
        <v>125</v>
      </c>
      <c r="BI43" s="31" t="s">
        <v>126</v>
      </c>
      <c r="BJ43" s="31" t="s">
        <v>127</v>
      </c>
      <c r="BK43" s="31" t="s">
        <v>128</v>
      </c>
      <c r="BL43" s="31" t="s">
        <v>129</v>
      </c>
      <c r="BM43" s="31" t="s">
        <v>130</v>
      </c>
      <c r="BN43" s="31" t="s">
        <v>131</v>
      </c>
      <c r="BO43" s="31" t="s">
        <v>132</v>
      </c>
      <c r="BP43" s="31" t="s">
        <v>133</v>
      </c>
      <c r="BQ43" s="31" t="s">
        <v>134</v>
      </c>
      <c r="BR43" s="31" t="s">
        <v>135</v>
      </c>
      <c r="BS43" s="31" t="s">
        <v>39</v>
      </c>
      <c r="BT43" s="31" t="s">
        <v>136</v>
      </c>
      <c r="BU43" s="31" t="s">
        <v>137</v>
      </c>
      <c r="BV43" s="31" t="s">
        <v>138</v>
      </c>
      <c r="BW43" s="31" t="s">
        <v>139</v>
      </c>
      <c r="BX43" s="31" t="s">
        <v>140</v>
      </c>
      <c r="BY43" s="31" t="s">
        <v>141</v>
      </c>
    </row>
    <row r="44" spans="2:77" x14ac:dyDescent="0.25">
      <c r="B44" s="9">
        <v>80009122</v>
      </c>
      <c r="C44" s="9" t="s">
        <v>51</v>
      </c>
      <c r="D44" s="9" t="s">
        <v>52</v>
      </c>
      <c r="E44" s="9" t="s">
        <v>142</v>
      </c>
      <c r="F44" s="9" t="s">
        <v>143</v>
      </c>
      <c r="G44" s="9" t="s">
        <v>144</v>
      </c>
      <c r="H44" s="9" t="s">
        <v>145</v>
      </c>
      <c r="I44" s="9" t="s">
        <v>23</v>
      </c>
      <c r="J44" s="9" t="s">
        <v>146</v>
      </c>
      <c r="K44" s="9" t="s">
        <v>147</v>
      </c>
      <c r="L44" s="9" t="s">
        <v>148</v>
      </c>
      <c r="M44" s="9">
        <v>19</v>
      </c>
      <c r="N44" s="9" t="s">
        <v>149</v>
      </c>
      <c r="O44" s="9"/>
      <c r="P44" s="9">
        <v>246446532</v>
      </c>
      <c r="Q44" s="9" t="s">
        <v>22</v>
      </c>
      <c r="R44" s="9" t="s">
        <v>150</v>
      </c>
      <c r="S44" s="9"/>
      <c r="T44" s="9" t="s">
        <v>151</v>
      </c>
      <c r="U44" s="9"/>
      <c r="V44" s="9" t="s">
        <v>152</v>
      </c>
      <c r="W44" s="9" t="s">
        <v>153</v>
      </c>
      <c r="X44" s="9" t="s">
        <v>154</v>
      </c>
      <c r="Y44" s="9" t="s">
        <v>155</v>
      </c>
      <c r="Z44" s="9" t="s">
        <v>52</v>
      </c>
      <c r="AA44" s="9" t="s">
        <v>24</v>
      </c>
      <c r="AB44" s="9"/>
      <c r="AC44" s="9" t="s">
        <v>156</v>
      </c>
      <c r="AD44" s="9">
        <v>20.47</v>
      </c>
      <c r="AE44" s="9">
        <v>16.920000000000002</v>
      </c>
      <c r="AF44" s="9">
        <v>3.55</v>
      </c>
      <c r="AG44" s="33">
        <v>3.55</v>
      </c>
      <c r="AH44" s="9" t="s">
        <v>157</v>
      </c>
      <c r="AI44" s="9">
        <v>80841792</v>
      </c>
      <c r="AJ44" s="9" t="s">
        <v>158</v>
      </c>
      <c r="AK44" s="9" t="s">
        <v>159</v>
      </c>
      <c r="AL44" s="9" t="s">
        <v>160</v>
      </c>
      <c r="AM44" s="9" t="s">
        <v>161</v>
      </c>
      <c r="AN44" s="9">
        <v>20007</v>
      </c>
      <c r="AO44" s="9" t="s">
        <v>162</v>
      </c>
      <c r="AP44" s="9" t="s">
        <v>163</v>
      </c>
      <c r="AQ44" s="9" t="s">
        <v>164</v>
      </c>
      <c r="AR44" s="9"/>
      <c r="AS44" s="9"/>
      <c r="AT44" s="9"/>
      <c r="AU44" s="9"/>
      <c r="AV44" s="9"/>
      <c r="AW44" s="9" t="s">
        <v>165</v>
      </c>
      <c r="AX44" s="9" t="s">
        <v>165</v>
      </c>
      <c r="AY44" s="9" t="s">
        <v>166</v>
      </c>
      <c r="AZ44" s="9" t="s">
        <v>166</v>
      </c>
      <c r="BA44" s="9">
        <v>3.55</v>
      </c>
      <c r="BB44" s="34" t="s">
        <v>167</v>
      </c>
      <c r="BC44" s="9">
        <v>246446532</v>
      </c>
      <c r="BD44" s="9" t="s">
        <v>168</v>
      </c>
      <c r="BE44" s="9" t="s">
        <v>169</v>
      </c>
      <c r="BF44" s="9" t="s">
        <v>170</v>
      </c>
      <c r="BG44" s="9"/>
      <c r="BH44" s="9"/>
      <c r="BI44" s="9"/>
      <c r="BJ44" s="9"/>
      <c r="BK44" s="9"/>
      <c r="BL44" s="9"/>
      <c r="BM44" s="9"/>
      <c r="BN44" s="9" t="s">
        <v>171</v>
      </c>
      <c r="BO44" s="9">
        <v>20.47</v>
      </c>
      <c r="BP44" s="9" t="s">
        <v>164</v>
      </c>
      <c r="BQ44" s="9"/>
      <c r="BR44" s="9">
        <v>91650712</v>
      </c>
      <c r="BS44" s="9" t="s">
        <v>53</v>
      </c>
      <c r="BT44" s="9" t="s">
        <v>172</v>
      </c>
      <c r="BU44" s="9"/>
      <c r="BV44" s="9"/>
      <c r="BW44" s="9">
        <v>0</v>
      </c>
      <c r="BX44" s="9">
        <v>0</v>
      </c>
      <c r="BY44" s="9"/>
    </row>
  </sheetData>
  <mergeCells count="7">
    <mergeCell ref="B39:I39"/>
    <mergeCell ref="B21:Q21"/>
    <mergeCell ref="B22:Q22"/>
    <mergeCell ref="B24:D24"/>
    <mergeCell ref="F24:H24"/>
    <mergeCell ref="B25:D25"/>
    <mergeCell ref="F25:H25"/>
  </mergeCells>
  <hyperlinks>
    <hyperlink ref="BB44" r:id="rId1" xr:uid="{1D600EBE-8537-45FF-9356-0587E450B3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Local Purchase</vt:lpstr>
    </vt:vector>
  </TitlesOfParts>
  <Company>Johnson Electric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Nithyanandhan Jayakumar</dc:creator>
  <cp:lastModifiedBy>Nithyanandhan Jayakumar</cp:lastModifiedBy>
  <dcterms:created xsi:type="dcterms:W3CDTF">2026-07-24T06:47:37Z</dcterms:created>
  <dcterms:modified xsi:type="dcterms:W3CDTF">2026-07-29T06:16:48Z</dcterms:modified>
</cp:coreProperties>
</file>