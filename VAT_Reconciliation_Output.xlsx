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ehl-my.sharepoint.com/personal/umapathy_sakthivel_johnsonelectric_com/Documents/Back up 1/VAT Compliance Automation/Vat returns by NJ/Final Shared/"/>
    </mc:Choice>
  </mc:AlternateContent>
  <xr:revisionPtr revIDLastSave="10" documentId="11_AA9498AC6E97254A65E65B9E1CD700FB916E3FFC" xr6:coauthVersionLast="47" xr6:coauthVersionMax="47" xr10:uidLastSave="{12C3E1BD-8519-418A-BB47-25B574C06DEE}"/>
  <bookViews>
    <workbookView xWindow="-110" yWindow="-110" windowWidth="19420" windowHeight="11500" firstSheet="2" activeTab="4" xr2:uid="{00000000-000D-0000-FFFF-FFFF00000000}"/>
  </bookViews>
  <sheets>
    <sheet name="VAT Summary" sheetId="1" r:id="rId1"/>
    <sheet name="Overall VAT Comparison" sheetId="2" r:id="rId2"/>
    <sheet name="EC acquisition" sheetId="3" r:id="rId3"/>
    <sheet name="Domestic sales (21% VAT)" sheetId="4" r:id="rId4"/>
    <sheet name="Domestic sales (0% VAT)" sheetId="5" r:id="rId5"/>
    <sheet name="Missed Inv in VAT Transaction" sheetId="6" r:id="rId6"/>
    <sheet name="VAT Valid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6" i="5" l="1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S3" i="5"/>
  <c r="S2" i="5"/>
  <c r="S13" i="4"/>
  <c r="S12" i="4"/>
  <c r="S11" i="4"/>
  <c r="S10" i="4"/>
  <c r="S9" i="4"/>
  <c r="S8" i="4"/>
  <c r="S7" i="4"/>
  <c r="S6" i="4"/>
  <c r="S5" i="4"/>
  <c r="S4" i="4"/>
  <c r="S3" i="4"/>
  <c r="S2" i="4"/>
  <c r="S5" i="3"/>
  <c r="S4" i="3"/>
  <c r="S3" i="3"/>
  <c r="S2" i="3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I34" i="1"/>
  <c r="I12" i="1"/>
  <c r="C12" i="1"/>
  <c r="I10" i="1"/>
  <c r="I23" i="1" s="1"/>
  <c r="I29" i="1" s="1"/>
  <c r="C10" i="1"/>
  <c r="C23" i="1" s="1"/>
  <c r="I9" i="1"/>
  <c r="I17" i="1" s="1"/>
  <c r="C9" i="1"/>
  <c r="I37" i="1" l="1"/>
  <c r="I36" i="1"/>
  <c r="I30" i="1"/>
  <c r="I44" i="1" l="1"/>
  <c r="I42" i="1"/>
</calcChain>
</file>

<file path=xl/sharedStrings.xml><?xml version="1.0" encoding="utf-8"?>
<sst xmlns="http://schemas.openxmlformats.org/spreadsheetml/2006/main" count="3047" uniqueCount="330">
  <si>
    <t>VAT return</t>
  </si>
  <si>
    <t>Period: Q2_2026</t>
  </si>
  <si>
    <t>Description Tax base amount VAT rate VAT amount</t>
  </si>
  <si>
    <t>Local sales</t>
  </si>
  <si>
    <t>box01</t>
  </si>
  <si>
    <t>box02</t>
  </si>
  <si>
    <t>box03</t>
  </si>
  <si>
    <t>box04</t>
  </si>
  <si>
    <t>box05</t>
  </si>
  <si>
    <t>box06</t>
  </si>
  <si>
    <t>box07</t>
  </si>
  <si>
    <t>box08</t>
  </si>
  <si>
    <t>box09</t>
  </si>
  <si>
    <t>Intra-community acquisitions of goods and services</t>
  </si>
  <si>
    <t>box10</t>
  </si>
  <si>
    <t>box11</t>
  </si>
  <si>
    <t>Other reverse charge transactions(except ICA)</t>
  </si>
  <si>
    <t>box12</t>
  </si>
  <si>
    <t>box13</t>
  </si>
  <si>
    <t>Modified taxable basis and VATamounts</t>
  </si>
  <si>
    <t>box14</t>
  </si>
  <si>
    <t>box15</t>
  </si>
  <si>
    <t>Special retail scheme</t>
  </si>
  <si>
    <t>box16</t>
  </si>
  <si>
    <t>box17</t>
  </si>
  <si>
    <t>box18</t>
  </si>
  <si>
    <t>box19</t>
  </si>
  <si>
    <t>box20</t>
  </si>
  <si>
    <t>box21</t>
  </si>
  <si>
    <t>box22</t>
  </si>
  <si>
    <t>box23</t>
  </si>
  <si>
    <t>box24</t>
  </si>
  <si>
    <t>Modified taxable basis and VAT amounts for the special retail scheme</t>
  </si>
  <si>
    <t>box25</t>
  </si>
  <si>
    <t>box26</t>
  </si>
  <si>
    <t>Total VAT payable</t>
  </si>
  <si>
    <t>box27</t>
  </si>
  <si>
    <t>Domestic purchases of goods and services</t>
  </si>
  <si>
    <t>box28</t>
  </si>
  <si>
    <t>box29</t>
  </si>
  <si>
    <t>Domestic purchases of investment goods</t>
  </si>
  <si>
    <t>box30</t>
  </si>
  <si>
    <t>box31</t>
  </si>
  <si>
    <t>Imports of goods</t>
  </si>
  <si>
    <t>box32</t>
  </si>
  <si>
    <t>box33</t>
  </si>
  <si>
    <t>Imports of investment goods</t>
  </si>
  <si>
    <t>box34</t>
  </si>
  <si>
    <t>box35</t>
  </si>
  <si>
    <t>Intra-community acquisition of goods and services</t>
  </si>
  <si>
    <t>box36</t>
  </si>
  <si>
    <t>box37</t>
  </si>
  <si>
    <t>Intra-community acquisition of investment goods</t>
  </si>
  <si>
    <t>box38</t>
  </si>
  <si>
    <t>box39</t>
  </si>
  <si>
    <t>Correction of deductions</t>
  </si>
  <si>
    <t>box40</t>
  </si>
  <si>
    <t>box41</t>
  </si>
  <si>
    <t>box42</t>
  </si>
  <si>
    <t>box43</t>
  </si>
  <si>
    <t>box44</t>
  </si>
  <si>
    <t>Total VAT deductible</t>
  </si>
  <si>
    <t>box45</t>
  </si>
  <si>
    <t>VAT balance</t>
  </si>
  <si>
    <t>box46</t>
  </si>
  <si>
    <t>Intra-Community supply of goods and services</t>
  </si>
  <si>
    <t>box59</t>
  </si>
  <si>
    <t>Export and deemed export transactions</t>
  </si>
  <si>
    <t>box60</t>
  </si>
  <si>
    <t>Local sales subject to reverse charge</t>
  </si>
  <si>
    <t>box122</t>
  </si>
  <si>
    <t>Sum of results</t>
  </si>
  <si>
    <t>box64</t>
  </si>
  <si>
    <t>VAT payable/credit to the State</t>
  </si>
  <si>
    <t>box65</t>
  </si>
  <si>
    <t>box66</t>
  </si>
  <si>
    <t>VAT on importation declared to the customs uponentry</t>
  </si>
  <si>
    <t>box77</t>
  </si>
  <si>
    <t>Carried forward from previous period</t>
  </si>
  <si>
    <t>box110</t>
  </si>
  <si>
    <t>Carried forward used in this period</t>
  </si>
  <si>
    <t>box78</t>
  </si>
  <si>
    <t>Carriedforward for the future periods</t>
  </si>
  <si>
    <t>box87</t>
  </si>
  <si>
    <t>Total VAT amount</t>
  </si>
  <si>
    <t>box69</t>
  </si>
  <si>
    <t>VAT amount to be paid/ reclaimed</t>
  </si>
  <si>
    <t>box71</t>
  </si>
  <si>
    <t>Doc type</t>
  </si>
  <si>
    <t>Invoice No.</t>
  </si>
  <si>
    <t>Invoice Date</t>
  </si>
  <si>
    <t>Registered Date / Invoice Creation Date:</t>
  </si>
  <si>
    <t>Delivery Date</t>
  </si>
  <si>
    <t>Incoterm</t>
  </si>
  <si>
    <t>Customer/Supplier No</t>
  </si>
  <si>
    <t>Customer/Supplier</t>
  </si>
  <si>
    <t>Our Tax Registration No.</t>
  </si>
  <si>
    <t>VAT Registration No.</t>
  </si>
  <si>
    <t>Tax Code</t>
  </si>
  <si>
    <t>Taxable Amt (Tax Curr)</t>
  </si>
  <si>
    <t>Recoverable Amt (Tax Curr)</t>
  </si>
  <si>
    <t>Func Total</t>
  </si>
  <si>
    <t>Inv Curr</t>
  </si>
  <si>
    <t>VAT rate %</t>
  </si>
  <si>
    <t>Mapping</t>
  </si>
  <si>
    <t>Comments</t>
  </si>
  <si>
    <t>VAT Status</t>
  </si>
  <si>
    <t>Credit note</t>
  </si>
  <si>
    <t>2611070</t>
  </si>
  <si>
    <t>2026-04-27</t>
  </si>
  <si>
    <t>2026-04-15</t>
  </si>
  <si>
    <t>DDP</t>
  </si>
  <si>
    <t>MAHLE THERMAL AND FLUID SYSTEMS SPAIN S.A.U.</t>
  </si>
  <si>
    <t>ESW0394952F</t>
  </si>
  <si>
    <t xml:space="preserve">ESA08060774 </t>
  </si>
  <si>
    <t>ES_REG/ES_DSG_0_RC</t>
  </si>
  <si>
    <t>EUR</t>
  </si>
  <si>
    <t>Domestic sale of Goods-Reverse charge</t>
  </si>
  <si>
    <t>Okay</t>
  </si>
  <si>
    <t>2611112</t>
  </si>
  <si>
    <t>2026-04-28</t>
  </si>
  <si>
    <t>2611113</t>
  </si>
  <si>
    <t>2611114</t>
  </si>
  <si>
    <t>2611115</t>
  </si>
  <si>
    <t>2611125</t>
  </si>
  <si>
    <t>2026-04-29</t>
  </si>
  <si>
    <t>2611128</t>
  </si>
  <si>
    <t>2026-04-30</t>
  </si>
  <si>
    <t>Invoice</t>
  </si>
  <si>
    <t>269275000024</t>
  </si>
  <si>
    <t>2026-04-03</t>
  </si>
  <si>
    <t>2026-04-16</t>
  </si>
  <si>
    <t>JOHNSON ELECTRIC POLAND SP ZOO</t>
  </si>
  <si>
    <t xml:space="preserve">PL6443245867 </t>
  </si>
  <si>
    <t>ES_REG/ES_ICAG_21_RCP</t>
  </si>
  <si>
    <t>Intra community acquisition of goods- Reverse charge payable</t>
  </si>
  <si>
    <t>Okay-Value Matching</t>
  </si>
  <si>
    <t>ES_REG/ES_ICAG_21_RCR</t>
  </si>
  <si>
    <t>Intra community acquisition of goods - Reverse charge Recoverable</t>
  </si>
  <si>
    <t>269275000185</t>
  </si>
  <si>
    <t>2026-04-20</t>
  </si>
  <si>
    <t>2026-04-21</t>
  </si>
  <si>
    <t>283268200011</t>
  </si>
  <si>
    <t>REPA IBERIA SLU</t>
  </si>
  <si>
    <t>ES_REG/DSG_21</t>
  </si>
  <si>
    <t>Domestic sale of Goods</t>
  </si>
  <si>
    <t>283268200012</t>
  </si>
  <si>
    <t>DAP</t>
  </si>
  <si>
    <t>AZKOYEN VENDING &amp; PAYMENT SOLUTIONS, S.L.U</t>
  </si>
  <si>
    <t>2611144</t>
  </si>
  <si>
    <t>2026-05-01</t>
  </si>
  <si>
    <t>2611166</t>
  </si>
  <si>
    <t>2026-05-05</t>
  </si>
  <si>
    <t>2611185</t>
  </si>
  <si>
    <t>2026-05-06</t>
  </si>
  <si>
    <t>2611186</t>
  </si>
  <si>
    <t>2611187</t>
  </si>
  <si>
    <t>2611188</t>
  </si>
  <si>
    <t>2611189</t>
  </si>
  <si>
    <t>2611190</t>
  </si>
  <si>
    <t>2611191</t>
  </si>
  <si>
    <t>2611192</t>
  </si>
  <si>
    <t>2611193</t>
  </si>
  <si>
    <t>2611198</t>
  </si>
  <si>
    <t>2026-05-07</t>
  </si>
  <si>
    <t>2611216</t>
  </si>
  <si>
    <t>2026-05-08</t>
  </si>
  <si>
    <t>2611224</t>
  </si>
  <si>
    <t>2611225</t>
  </si>
  <si>
    <t>2611234</t>
  </si>
  <si>
    <t>2026-05-11</t>
  </si>
  <si>
    <t>2611247</t>
  </si>
  <si>
    <t>2026-05-12</t>
  </si>
  <si>
    <t>2611256</t>
  </si>
  <si>
    <t>2611257</t>
  </si>
  <si>
    <t>2611258</t>
  </si>
  <si>
    <t>2611259</t>
  </si>
  <si>
    <t>2611260</t>
  </si>
  <si>
    <t>2026-05-13</t>
  </si>
  <si>
    <t>2611261</t>
  </si>
  <si>
    <t>2611262</t>
  </si>
  <si>
    <t>2611265</t>
  </si>
  <si>
    <t>2611292</t>
  </si>
  <si>
    <t>2026-05-15</t>
  </si>
  <si>
    <t>2611297</t>
  </si>
  <si>
    <t>2611298</t>
  </si>
  <si>
    <t>2026-05-14</t>
  </si>
  <si>
    <t>2611313</t>
  </si>
  <si>
    <t>2026-05-19</t>
  </si>
  <si>
    <t>2611314</t>
  </si>
  <si>
    <t>2611315</t>
  </si>
  <si>
    <t>2026-05-18</t>
  </si>
  <si>
    <t>2611316</t>
  </si>
  <si>
    <t>2611332</t>
  </si>
  <si>
    <t>2611344</t>
  </si>
  <si>
    <t>2026-05-20</t>
  </si>
  <si>
    <t>2611356</t>
  </si>
  <si>
    <t>2026-05-21</t>
  </si>
  <si>
    <t>2611370</t>
  </si>
  <si>
    <t>2026-05-22</t>
  </si>
  <si>
    <t>2611389</t>
  </si>
  <si>
    <t>2026-05-26</t>
  </si>
  <si>
    <t>2611390</t>
  </si>
  <si>
    <t>2611401</t>
  </si>
  <si>
    <t>2026-05-27</t>
  </si>
  <si>
    <t>2611413</t>
  </si>
  <si>
    <t>2026-05-25</t>
  </si>
  <si>
    <t>2611422</t>
  </si>
  <si>
    <t>2026-05-28</t>
  </si>
  <si>
    <t>2611431</t>
  </si>
  <si>
    <t>2026-05-29</t>
  </si>
  <si>
    <t>283268200013</t>
  </si>
  <si>
    <t>2025-12-11</t>
  </si>
  <si>
    <t>HUF ESPANA S.A.</t>
  </si>
  <si>
    <t xml:space="preserve">ES A08806812 </t>
  </si>
  <si>
    <t>(Johnson -Corp-Common-Creditors &amp; Accr \- VAT / -External-NL VAT Payable-Default_283-00-0000-32310000-000-46685-000)_Value Not Matching</t>
  </si>
  <si>
    <t>2611466</t>
  </si>
  <si>
    <t>2026-06-02</t>
  </si>
  <si>
    <t>CH-037</t>
  </si>
  <si>
    <t>CH-BH11</t>
  </si>
  <si>
    <t>2611469</t>
  </si>
  <si>
    <t>2611568</t>
  </si>
  <si>
    <t>2026-06-11</t>
  </si>
  <si>
    <t>2611579</t>
  </si>
  <si>
    <t>2026-06-12</t>
  </si>
  <si>
    <t>2611605</t>
  </si>
  <si>
    <t>2026-06-16</t>
  </si>
  <si>
    <t>2611722</t>
  </si>
  <si>
    <t>2026-06-26</t>
  </si>
  <si>
    <t>2611468</t>
  </si>
  <si>
    <t>2611504</t>
  </si>
  <si>
    <t>2026-06-05</t>
  </si>
  <si>
    <t>2611557</t>
  </si>
  <si>
    <t>2611600</t>
  </si>
  <si>
    <t>2611623</t>
  </si>
  <si>
    <t>2026-06-18</t>
  </si>
  <si>
    <t>2611695</t>
  </si>
  <si>
    <t>2026-06-24</t>
  </si>
  <si>
    <t>2611751</t>
  </si>
  <si>
    <t>2026-06-30</t>
  </si>
  <si>
    <t>283268200014</t>
  </si>
  <si>
    <t>CH-032</t>
  </si>
  <si>
    <t>CH-BH10</t>
  </si>
  <si>
    <t>CLR COMPANIA LEVANTINA DE REDUCTORES</t>
  </si>
  <si>
    <t xml:space="preserve">ESB03933835 </t>
  </si>
  <si>
    <t>2611470</t>
  </si>
  <si>
    <t>2611528</t>
  </si>
  <si>
    <t>2026-06-09</t>
  </si>
  <si>
    <t>2611603</t>
  </si>
  <si>
    <t>283268200021</t>
  </si>
  <si>
    <t>2026-06-23</t>
  </si>
  <si>
    <t>2611746</t>
  </si>
  <si>
    <t>283268200016</t>
  </si>
  <si>
    <t>283268200024</t>
  </si>
  <si>
    <t>283268200027</t>
  </si>
  <si>
    <t>CH-034</t>
  </si>
  <si>
    <t>OCTÉ ELECTRIC, S.A.U.</t>
  </si>
  <si>
    <t xml:space="preserve">ESA20025136 </t>
  </si>
  <si>
    <t>2611569</t>
  </si>
  <si>
    <t>2611604</t>
  </si>
  <si>
    <t>2611614</t>
  </si>
  <si>
    <t>2026-06-17</t>
  </si>
  <si>
    <t>2611747</t>
  </si>
  <si>
    <t>283268200020</t>
  </si>
  <si>
    <t>2611467</t>
  </si>
  <si>
    <t>2611526</t>
  </si>
  <si>
    <t>2611543</t>
  </si>
  <si>
    <t>2026-06-10</t>
  </si>
  <si>
    <t>2611745</t>
  </si>
  <si>
    <t>2611748</t>
  </si>
  <si>
    <t>2611749</t>
  </si>
  <si>
    <t>2611752</t>
  </si>
  <si>
    <t>283268200023</t>
  </si>
  <si>
    <t>283268200025</t>
  </si>
  <si>
    <t>2611696</t>
  </si>
  <si>
    <t>283268200015</t>
  </si>
  <si>
    <t>283268200026</t>
  </si>
  <si>
    <t>2611525</t>
  </si>
  <si>
    <t>2611669</t>
  </si>
  <si>
    <t>2611738</t>
  </si>
  <si>
    <t>2026-06-29</t>
  </si>
  <si>
    <t>2611750</t>
  </si>
  <si>
    <t>283268200018</t>
  </si>
  <si>
    <t>283268200022</t>
  </si>
  <si>
    <t>2611459</t>
  </si>
  <si>
    <t>2026-06-01</t>
  </si>
  <si>
    <t>2611471</t>
  </si>
  <si>
    <t>2611479</t>
  </si>
  <si>
    <t>2026-06-03</t>
  </si>
  <si>
    <t>2611487</t>
  </si>
  <si>
    <t>2026-06-04</t>
  </si>
  <si>
    <t>2611527</t>
  </si>
  <si>
    <t>2611601</t>
  </si>
  <si>
    <t>2611602</t>
  </si>
  <si>
    <t>2611645</t>
  </si>
  <si>
    <t>2026-06-19</t>
  </si>
  <si>
    <t>283268200017</t>
  </si>
  <si>
    <t>283268200019</t>
  </si>
  <si>
    <t>269275000750</t>
  </si>
  <si>
    <t>269275000781</t>
  </si>
  <si>
    <t>2026-06-22</t>
  </si>
  <si>
    <t>Period</t>
  </si>
  <si>
    <t>Account Number</t>
  </si>
  <si>
    <t>Account Description</t>
  </si>
  <si>
    <t>Journal Source</t>
  </si>
  <si>
    <t>Journal Batch Name</t>
  </si>
  <si>
    <t>Accounting Sequence</t>
  </si>
  <si>
    <t>Category</t>
  </si>
  <si>
    <t>JE Name</t>
  </si>
  <si>
    <t>Customer/Vendor</t>
  </si>
  <si>
    <t>Invoice NO.</t>
  </si>
  <si>
    <t>Posted Date</t>
  </si>
  <si>
    <t>Document No.</t>
  </si>
  <si>
    <t>PO No.</t>
  </si>
  <si>
    <t>Curr</t>
  </si>
  <si>
    <t>Trans. Debits</t>
  </si>
  <si>
    <t>Trans. Credits</t>
  </si>
  <si>
    <t>Trans Total</t>
  </si>
  <si>
    <t>Func. Debits</t>
  </si>
  <si>
    <t>Func. Credits</t>
  </si>
  <si>
    <t>Description</t>
  </si>
  <si>
    <t>Invoice Reference Number</t>
  </si>
  <si>
    <t>Journal Description</t>
  </si>
  <si>
    <t>Unnamed: 24</t>
  </si>
  <si>
    <t>ES A08806812</t>
  </si>
  <si>
    <t>VALID</t>
  </si>
  <si>
    <t>ESA08060774</t>
  </si>
  <si>
    <t>ESA20025136</t>
  </si>
  <si>
    <t>ESB03933835</t>
  </si>
  <si>
    <t>PL6443245867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</si>
</sst>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9" fontId="2" fillId="0" borderId="1" xfId="0" applyNumberFormat="1" applyFont="1" applyBorder="1"/>
    <xf numFmtId="10" fontId="2" fillId="0" borderId="1" xfId="0" applyNumberFormat="1" applyFont="1" applyBorder="1"/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5" borderId="1" xfId="0" applyFont="1" applyFill="1" applyBorder="1" applyAlignment="1">
      <alignment horizontal="center"/>
    </xf>
    <xf numFmtId="4" fontId="2" fillId="0" borderId="0" xfId="0" applyNumberFormat="1" applyFont="1"/>
    <xf numFmtId="0" fontId="2" fillId="5" borderId="0" xfId="0" applyFont="1" applyFill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4" fillId="0" borderId="0" xfId="0" applyFont="1"/>
    <xf numFmtId="4" fontId="4" fillId="0" borderId="0" xfId="0" applyNumberFormat="1" applyFont="1"/>
    <xf numFmtId="0" fontId="1" fillId="0" borderId="0" xfId="0" applyFont="1"/>
    <xf numFmtId="0" fontId="0" fillId="2" borderId="0" xfId="0" applyFill="1"/>
    <xf numFmtId="0" fontId="0" fillId="3" borderId="0" xfId="0" applyFill="1"/>
    <xf numFmtId="4" fontId="2" fillId="0" borderId="1" xfId="0" applyNumberFormat="1" applyFont="1" applyBorder="1" applyAlignment="1">
      <alignment horizontal="center"/>
    </xf>
    <xf numFmtId="0" fontId="0" fillId="0" borderId="10" xfId="0" applyBorder="1"/>
    <xf numFmtId="0" fontId="0" fillId="0" borderId="4" xfId="0" applyBorder="1"/>
    <xf numFmtId="4" fontId="3" fillId="0" borderId="1" xfId="0" applyNumberFormat="1" applyFont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0" fillId="0" borderId="3" xfId="0" applyBorder="1"/>
    <xf numFmtId="0" fontId="0" fillId="0" borderId="0" xfId="0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2" fillId="8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2" fillId="7" borderId="1" xfId="0" applyFont="1" applyFill="1" applyBorder="1" applyAlignment="1">
      <alignment horizontal="center"/>
    </xf>
    <xf numFmtId="4" fontId="3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2" fillId="0" borderId="1" xfId="0" applyFont="1" applyBorder="1"/>
    <xf numFmtId="0" fontId="2" fillId="7" borderId="1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7" borderId="1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workbookViewId="0">
      <selection sqref="A1:G4"/>
    </sheetView>
  </sheetViews>
  <sheetFormatPr defaultRowHeight="14.5" x14ac:dyDescent="0.35"/>
  <cols>
    <col min="1" max="1" width="60.81640625" customWidth="1"/>
  </cols>
  <sheetData>
    <row r="1" spans="1:11" x14ac:dyDescent="0.35">
      <c r="A1" s="38"/>
      <c r="B1" s="30"/>
      <c r="C1" s="30"/>
      <c r="D1" s="30"/>
      <c r="E1" s="30"/>
      <c r="F1" s="30"/>
      <c r="G1" s="23"/>
      <c r="H1" s="41" t="s">
        <v>0</v>
      </c>
      <c r="I1" s="23"/>
      <c r="J1" s="29"/>
      <c r="K1" s="20"/>
    </row>
    <row r="2" spans="1:11" x14ac:dyDescent="0.35">
      <c r="A2" s="31"/>
      <c r="B2" s="24"/>
      <c r="C2" s="24"/>
      <c r="D2" s="24"/>
      <c r="E2" s="24"/>
      <c r="F2" s="24"/>
      <c r="G2" s="25"/>
      <c r="H2" s="31"/>
      <c r="I2" s="25"/>
      <c r="J2" s="22" t="s">
        <v>1</v>
      </c>
      <c r="K2" s="23"/>
    </row>
    <row r="3" spans="1:11" x14ac:dyDescent="0.35">
      <c r="A3" s="31"/>
      <c r="B3" s="24"/>
      <c r="C3" s="24"/>
      <c r="D3" s="24"/>
      <c r="E3" s="24"/>
      <c r="F3" s="24"/>
      <c r="G3" s="25"/>
      <c r="H3" s="31"/>
      <c r="I3" s="25"/>
      <c r="J3" s="24"/>
      <c r="K3" s="25"/>
    </row>
    <row r="4" spans="1:11" x14ac:dyDescent="0.35">
      <c r="A4" s="32"/>
      <c r="B4" s="26"/>
      <c r="C4" s="26"/>
      <c r="D4" s="26"/>
      <c r="E4" s="26"/>
      <c r="F4" s="26"/>
      <c r="G4" s="27"/>
      <c r="H4" s="32"/>
      <c r="I4" s="27"/>
      <c r="J4" s="26"/>
      <c r="K4" s="27"/>
    </row>
    <row r="5" spans="1:11" x14ac:dyDescent="0.35">
      <c r="A5" s="29" t="s">
        <v>2</v>
      </c>
      <c r="B5" s="30"/>
      <c r="C5" s="30"/>
      <c r="D5" s="30"/>
      <c r="E5" s="30"/>
      <c r="F5" s="30"/>
      <c r="G5" s="30"/>
      <c r="H5" s="30"/>
      <c r="I5" s="30"/>
      <c r="J5" s="30"/>
      <c r="K5" s="23"/>
    </row>
    <row r="6" spans="1:11" x14ac:dyDescent="0.35">
      <c r="A6" s="32"/>
      <c r="B6" s="26"/>
      <c r="C6" s="26"/>
      <c r="D6" s="26"/>
      <c r="E6" s="26"/>
      <c r="F6" s="26"/>
      <c r="G6" s="26"/>
      <c r="H6" s="26"/>
      <c r="I6" s="26"/>
      <c r="J6" s="26"/>
      <c r="K6" s="27"/>
    </row>
    <row r="7" spans="1:11" x14ac:dyDescent="0.35">
      <c r="A7" s="35" t="s">
        <v>3</v>
      </c>
      <c r="B7" s="1" t="s">
        <v>4</v>
      </c>
      <c r="C7" s="18"/>
      <c r="D7" s="19"/>
      <c r="E7" s="20"/>
      <c r="F7" s="1" t="s">
        <v>5</v>
      </c>
      <c r="G7" s="4">
        <v>0.04</v>
      </c>
      <c r="H7" s="1" t="s">
        <v>6</v>
      </c>
      <c r="I7" s="18"/>
      <c r="J7" s="19"/>
      <c r="K7" s="20"/>
    </row>
    <row r="8" spans="1:11" x14ac:dyDescent="0.35">
      <c r="A8" s="36"/>
      <c r="B8" s="1" t="s">
        <v>7</v>
      </c>
      <c r="C8" s="18"/>
      <c r="D8" s="19"/>
      <c r="E8" s="20"/>
      <c r="F8" s="1" t="s">
        <v>8</v>
      </c>
      <c r="G8" s="4">
        <v>0.1</v>
      </c>
      <c r="H8" s="1" t="s">
        <v>9</v>
      </c>
      <c r="I8" s="18"/>
      <c r="J8" s="19"/>
      <c r="K8" s="20"/>
    </row>
    <row r="9" spans="1:11" x14ac:dyDescent="0.35">
      <c r="A9" s="37"/>
      <c r="B9" s="1" t="s">
        <v>10</v>
      </c>
      <c r="C9" s="34">
        <f>(SUMIFS('Overall VAT Comparison'!$L:$L,'Overall VAT Comparison'!$A:$A,"Credit note",'Overall VAT Comparison'!$K:$K,"ES_REG/DSG_21"))*-1</f>
        <v>39399.040000000001</v>
      </c>
      <c r="D9" s="19"/>
      <c r="E9" s="20"/>
      <c r="F9" s="1" t="s">
        <v>11</v>
      </c>
      <c r="G9" s="4">
        <v>0.21</v>
      </c>
      <c r="H9" s="1" t="s">
        <v>12</v>
      </c>
      <c r="I9" s="34">
        <f>(SUMIFS('Overall VAT Comparison'!$M:$M,'Overall VAT Comparison'!$A:$A,"Credit note",'Overall VAT Comparison'!$K:$K,"ES_REG/DSG_21"))*-1</f>
        <v>8273.7900000000009</v>
      </c>
      <c r="J9" s="19"/>
      <c r="K9" s="20"/>
    </row>
    <row r="10" spans="1:11" x14ac:dyDescent="0.35">
      <c r="A10" s="3" t="s">
        <v>13</v>
      </c>
      <c r="B10" s="1" t="s">
        <v>14</v>
      </c>
      <c r="C10" s="34">
        <f>SUMIFS('Overall VAT Comparison'!$L:$L,'Overall VAT Comparison'!$H:$H,"JOHNSON ELECTRIC POLAND SP ZOO",'Overall VAT Comparison'!$K:$K,"ES_REG/ES_ICAG_21_RCR")</f>
        <v>19824.62</v>
      </c>
      <c r="D10" s="19"/>
      <c r="E10" s="20"/>
      <c r="F10" s="43"/>
      <c r="G10" s="23"/>
      <c r="H10" s="1" t="s">
        <v>15</v>
      </c>
      <c r="I10" s="34">
        <f>SUMIFS('Overall VAT Comparison'!$M:$M,'Overall VAT Comparison'!$H:$H,"JOHNSON ELECTRIC POLAND SP ZOO",'Overall VAT Comparison'!$K:$K,"ES_REG/ES_ICAG_21_RCR")</f>
        <v>4163.18</v>
      </c>
      <c r="J10" s="19"/>
      <c r="K10" s="20"/>
    </row>
    <row r="11" spans="1:11" x14ac:dyDescent="0.35">
      <c r="A11" s="3" t="s">
        <v>16</v>
      </c>
      <c r="B11" s="1" t="s">
        <v>17</v>
      </c>
      <c r="C11" s="18"/>
      <c r="D11" s="19"/>
      <c r="E11" s="20"/>
      <c r="F11" s="31"/>
      <c r="G11" s="25"/>
      <c r="H11" s="1" t="s">
        <v>18</v>
      </c>
      <c r="I11" s="21"/>
      <c r="J11" s="19"/>
      <c r="K11" s="20"/>
    </row>
    <row r="12" spans="1:11" x14ac:dyDescent="0.35">
      <c r="A12" s="3" t="s">
        <v>19</v>
      </c>
      <c r="B12" s="1" t="s">
        <v>20</v>
      </c>
      <c r="C12" s="34">
        <f>(SUMIFS('Overall VAT Comparison'!$L:$L,'Overall VAT Comparison'!$A:$A,"Invoice",'Overall VAT Comparison'!$K:$K,"ES_REG/DSG_21"))*-1</f>
        <v>-45713.399999999994</v>
      </c>
      <c r="D12" s="19"/>
      <c r="E12" s="20"/>
      <c r="F12" s="32"/>
      <c r="G12" s="27"/>
      <c r="H12" s="1" t="s">
        <v>21</v>
      </c>
      <c r="I12" s="34">
        <f>(SUMIFS('Overall VAT Comparison'!$M:$M,'Overall VAT Comparison'!$A:$A,"Invoice",'Overall VAT Comparison'!$K:$K,"ES_REG/DSG_21"))*-1</f>
        <v>-9599.82</v>
      </c>
      <c r="J12" s="19"/>
      <c r="K12" s="20"/>
    </row>
    <row r="13" spans="1:11" x14ac:dyDescent="0.35">
      <c r="A13" s="35" t="s">
        <v>22</v>
      </c>
      <c r="B13" s="1" t="s">
        <v>23</v>
      </c>
      <c r="C13" s="18"/>
      <c r="D13" s="19"/>
      <c r="E13" s="20"/>
      <c r="F13" s="1" t="s">
        <v>24</v>
      </c>
      <c r="G13" s="1"/>
      <c r="H13" s="1" t="s">
        <v>25</v>
      </c>
      <c r="I13" s="21"/>
      <c r="J13" s="19"/>
      <c r="K13" s="20"/>
    </row>
    <row r="14" spans="1:11" x14ac:dyDescent="0.35">
      <c r="A14" s="36"/>
      <c r="B14" s="1" t="s">
        <v>26</v>
      </c>
      <c r="C14" s="18"/>
      <c r="D14" s="19"/>
      <c r="E14" s="20"/>
      <c r="F14" s="1" t="s">
        <v>27</v>
      </c>
      <c r="G14" s="5">
        <v>1.4E-2</v>
      </c>
      <c r="H14" s="1" t="s">
        <v>28</v>
      </c>
      <c r="I14" s="21"/>
      <c r="J14" s="19"/>
      <c r="K14" s="20"/>
    </row>
    <row r="15" spans="1:11" x14ac:dyDescent="0.35">
      <c r="A15" s="37"/>
      <c r="B15" s="1" t="s">
        <v>29</v>
      </c>
      <c r="C15" s="18"/>
      <c r="D15" s="19"/>
      <c r="E15" s="20"/>
      <c r="F15" s="1" t="s">
        <v>30</v>
      </c>
      <c r="G15" s="5">
        <v>5.1999999999999998E-2</v>
      </c>
      <c r="H15" s="1" t="s">
        <v>31</v>
      </c>
      <c r="I15" s="21"/>
      <c r="J15" s="19"/>
      <c r="K15" s="20"/>
    </row>
    <row r="16" spans="1:11" x14ac:dyDescent="0.35">
      <c r="A16" s="3" t="s">
        <v>32</v>
      </c>
      <c r="B16" s="1" t="s">
        <v>33</v>
      </c>
      <c r="C16" s="18"/>
      <c r="D16" s="19"/>
      <c r="E16" s="20"/>
      <c r="F16" s="33"/>
      <c r="G16" s="20"/>
      <c r="H16" s="1" t="s">
        <v>34</v>
      </c>
      <c r="I16" s="21"/>
      <c r="J16" s="19"/>
      <c r="K16" s="20"/>
    </row>
    <row r="17" spans="1:11" x14ac:dyDescent="0.35">
      <c r="A17" s="28" t="s">
        <v>35</v>
      </c>
      <c r="B17" s="19"/>
      <c r="C17" s="19"/>
      <c r="D17" s="19"/>
      <c r="E17" s="19"/>
      <c r="F17" s="19"/>
      <c r="G17" s="20"/>
      <c r="H17" s="1" t="s">
        <v>36</v>
      </c>
      <c r="I17" s="34">
        <f>SUM(I7:K16)</f>
        <v>2837.1500000000015</v>
      </c>
      <c r="J17" s="19"/>
      <c r="K17" s="20"/>
    </row>
    <row r="18" spans="1:11" x14ac:dyDescent="0.35">
      <c r="A18" s="29"/>
      <c r="B18" s="19"/>
      <c r="C18" s="19"/>
      <c r="D18" s="19"/>
      <c r="E18" s="19"/>
      <c r="F18" s="19"/>
      <c r="G18" s="19"/>
      <c r="H18" s="19"/>
      <c r="I18" s="19"/>
      <c r="J18" s="19"/>
      <c r="K18" s="20"/>
    </row>
    <row r="19" spans="1:11" x14ac:dyDescent="0.35">
      <c r="A19" s="6" t="s">
        <v>37</v>
      </c>
      <c r="B19" s="7" t="s">
        <v>38</v>
      </c>
      <c r="C19" s="34"/>
      <c r="D19" s="19"/>
      <c r="E19" s="19"/>
      <c r="F19" s="19"/>
      <c r="G19" s="20"/>
      <c r="H19" s="7" t="s">
        <v>39</v>
      </c>
      <c r="I19" s="34"/>
      <c r="J19" s="19"/>
      <c r="K19" s="20"/>
    </row>
    <row r="20" spans="1:11" x14ac:dyDescent="0.35">
      <c r="A20" s="8" t="s">
        <v>40</v>
      </c>
      <c r="B20" s="1" t="s">
        <v>41</v>
      </c>
      <c r="C20" s="21"/>
      <c r="D20" s="19"/>
      <c r="E20" s="19"/>
      <c r="F20" s="19"/>
      <c r="G20" s="20"/>
      <c r="H20" s="1" t="s">
        <v>42</v>
      </c>
      <c r="I20" s="18"/>
      <c r="J20" s="19"/>
      <c r="K20" s="20"/>
    </row>
    <row r="21" spans="1:11" x14ac:dyDescent="0.35">
      <c r="A21" s="8" t="s">
        <v>43</v>
      </c>
      <c r="B21" s="1" t="s">
        <v>44</v>
      </c>
      <c r="C21" s="18"/>
      <c r="D21" s="19"/>
      <c r="E21" s="19"/>
      <c r="F21" s="19"/>
      <c r="G21" s="20"/>
      <c r="H21" s="1" t="s">
        <v>45</v>
      </c>
      <c r="I21" s="18"/>
      <c r="J21" s="19"/>
      <c r="K21" s="20"/>
    </row>
    <row r="22" spans="1:11" x14ac:dyDescent="0.35">
      <c r="A22" s="8" t="s">
        <v>46</v>
      </c>
      <c r="B22" s="1" t="s">
        <v>47</v>
      </c>
      <c r="C22" s="18"/>
      <c r="D22" s="19"/>
      <c r="E22" s="19"/>
      <c r="F22" s="19"/>
      <c r="G22" s="20"/>
      <c r="H22" s="1" t="s">
        <v>48</v>
      </c>
      <c r="I22" s="18"/>
      <c r="J22" s="19"/>
      <c r="K22" s="20"/>
    </row>
    <row r="23" spans="1:11" x14ac:dyDescent="0.35">
      <c r="A23" s="8" t="s">
        <v>49</v>
      </c>
      <c r="B23" s="1" t="s">
        <v>50</v>
      </c>
      <c r="C23" s="34">
        <f>C10</f>
        <v>19824.62</v>
      </c>
      <c r="D23" s="19"/>
      <c r="E23" s="19"/>
      <c r="F23" s="19"/>
      <c r="G23" s="20"/>
      <c r="H23" s="1" t="s">
        <v>51</v>
      </c>
      <c r="I23" s="34">
        <f>I10</f>
        <v>4163.18</v>
      </c>
      <c r="J23" s="19"/>
      <c r="K23" s="20"/>
    </row>
    <row r="24" spans="1:11" x14ac:dyDescent="0.35">
      <c r="A24" s="8" t="s">
        <v>52</v>
      </c>
      <c r="B24" s="1" t="s">
        <v>53</v>
      </c>
      <c r="C24" s="18"/>
      <c r="D24" s="19"/>
      <c r="E24" s="19"/>
      <c r="F24" s="19"/>
      <c r="G24" s="20"/>
      <c r="H24" s="1" t="s">
        <v>54</v>
      </c>
      <c r="I24" s="18"/>
      <c r="J24" s="19"/>
      <c r="K24" s="20"/>
    </row>
    <row r="25" spans="1:11" x14ac:dyDescent="0.35">
      <c r="A25" s="8" t="s">
        <v>55</v>
      </c>
      <c r="B25" s="1" t="s">
        <v>56</v>
      </c>
      <c r="C25" s="18"/>
      <c r="D25" s="19"/>
      <c r="E25" s="19"/>
      <c r="F25" s="19"/>
      <c r="G25" s="20"/>
      <c r="H25" s="1" t="s">
        <v>57</v>
      </c>
      <c r="I25" s="18"/>
      <c r="J25" s="19"/>
      <c r="K25" s="20"/>
    </row>
    <row r="26" spans="1:11" x14ac:dyDescent="0.35">
      <c r="A26" s="29"/>
      <c r="B26" s="30"/>
      <c r="C26" s="30"/>
      <c r="D26" s="30"/>
      <c r="E26" s="30"/>
      <c r="F26" s="30"/>
      <c r="G26" s="23"/>
      <c r="H26" s="1" t="s">
        <v>58</v>
      </c>
      <c r="I26" s="18"/>
      <c r="J26" s="19"/>
      <c r="K26" s="20"/>
    </row>
    <row r="27" spans="1:11" x14ac:dyDescent="0.35">
      <c r="A27" s="31"/>
      <c r="B27" s="24"/>
      <c r="C27" s="24"/>
      <c r="D27" s="24"/>
      <c r="E27" s="24"/>
      <c r="F27" s="24"/>
      <c r="G27" s="25"/>
      <c r="H27" s="1" t="s">
        <v>59</v>
      </c>
      <c r="I27" s="18"/>
      <c r="J27" s="19"/>
      <c r="K27" s="20"/>
    </row>
    <row r="28" spans="1:11" x14ac:dyDescent="0.35">
      <c r="A28" s="32"/>
      <c r="B28" s="26"/>
      <c r="C28" s="26"/>
      <c r="D28" s="26"/>
      <c r="E28" s="26"/>
      <c r="F28" s="26"/>
      <c r="G28" s="27"/>
      <c r="H28" s="1" t="s">
        <v>60</v>
      </c>
      <c r="I28" s="18"/>
      <c r="J28" s="19"/>
      <c r="K28" s="20"/>
    </row>
    <row r="29" spans="1:11" x14ac:dyDescent="0.35">
      <c r="A29" s="28" t="s">
        <v>61</v>
      </c>
      <c r="B29" s="19"/>
      <c r="C29" s="19"/>
      <c r="D29" s="19"/>
      <c r="E29" s="19"/>
      <c r="F29" s="19"/>
      <c r="G29" s="20"/>
      <c r="H29" s="1" t="s">
        <v>62</v>
      </c>
      <c r="I29" s="34">
        <f>SUM(I19:K28)</f>
        <v>4163.18</v>
      </c>
      <c r="J29" s="19"/>
      <c r="K29" s="20"/>
    </row>
    <row r="30" spans="1:11" x14ac:dyDescent="0.35">
      <c r="A30" s="28" t="s">
        <v>63</v>
      </c>
      <c r="B30" s="19"/>
      <c r="C30" s="19"/>
      <c r="D30" s="19"/>
      <c r="E30" s="19"/>
      <c r="F30" s="19"/>
      <c r="G30" s="20"/>
      <c r="H30" s="1" t="s">
        <v>64</v>
      </c>
      <c r="I30" s="34">
        <f>I17-I29</f>
        <v>-1326.0299999999988</v>
      </c>
      <c r="J30" s="19"/>
      <c r="K30" s="20"/>
    </row>
    <row r="31" spans="1:11" x14ac:dyDescent="0.35">
      <c r="I31" s="9"/>
      <c r="J31" s="9"/>
      <c r="K31" s="9"/>
    </row>
    <row r="32" spans="1:11" x14ac:dyDescent="0.35">
      <c r="A32" s="8" t="s">
        <v>65</v>
      </c>
      <c r="B32" s="33"/>
      <c r="C32" s="30"/>
      <c r="D32" s="30"/>
      <c r="E32" s="30"/>
      <c r="F32" s="30"/>
      <c r="G32" s="23"/>
      <c r="H32" s="1" t="s">
        <v>66</v>
      </c>
      <c r="I32" s="18"/>
      <c r="J32" s="19"/>
      <c r="K32" s="20"/>
    </row>
    <row r="33" spans="1:11" x14ac:dyDescent="0.35">
      <c r="A33" s="8" t="s">
        <v>67</v>
      </c>
      <c r="B33" s="31"/>
      <c r="C33" s="24"/>
      <c r="D33" s="24"/>
      <c r="E33" s="24"/>
      <c r="F33" s="24"/>
      <c r="G33" s="25"/>
      <c r="H33" s="1" t="s">
        <v>68</v>
      </c>
      <c r="I33" s="18"/>
      <c r="J33" s="19"/>
      <c r="K33" s="20"/>
    </row>
    <row r="34" spans="1:11" x14ac:dyDescent="0.35">
      <c r="A34" s="10" t="s">
        <v>69</v>
      </c>
      <c r="B34" s="32"/>
      <c r="C34" s="26"/>
      <c r="D34" s="26"/>
      <c r="E34" s="26"/>
      <c r="F34" s="26"/>
      <c r="G34" s="27"/>
      <c r="H34" s="1" t="s">
        <v>70</v>
      </c>
      <c r="I34" s="34">
        <f>SUMIFS('Overall VAT Comparison'!$L:$L,'Overall VAT Comparison'!$K:$K,"ES_REG/ES_DSG_0_RC")</f>
        <v>-660196.70000000007</v>
      </c>
      <c r="J34" s="19"/>
      <c r="K34" s="20"/>
    </row>
    <row r="35" spans="1:11" x14ac:dyDescent="0.35">
      <c r="A35" s="2"/>
      <c r="I35" s="9"/>
      <c r="J35" s="9"/>
      <c r="K35" s="9"/>
    </row>
    <row r="36" spans="1:11" x14ac:dyDescent="0.35">
      <c r="A36" s="11" t="s">
        <v>71</v>
      </c>
      <c r="B36" s="39"/>
      <c r="C36" s="30"/>
      <c r="D36" s="30"/>
      <c r="E36" s="30"/>
      <c r="F36" s="30"/>
      <c r="G36" s="30"/>
      <c r="H36" s="1" t="s">
        <v>72</v>
      </c>
      <c r="I36" s="34">
        <f>I17-I29</f>
        <v>-1326.0299999999988</v>
      </c>
      <c r="J36" s="19"/>
      <c r="K36" s="20"/>
    </row>
    <row r="37" spans="1:11" x14ac:dyDescent="0.35">
      <c r="A37" s="8" t="s">
        <v>73</v>
      </c>
      <c r="B37" s="42"/>
      <c r="C37" s="24"/>
      <c r="D37" s="24"/>
      <c r="E37" s="25"/>
      <c r="F37" s="1" t="s">
        <v>74</v>
      </c>
      <c r="G37" s="4">
        <v>1</v>
      </c>
      <c r="H37" s="1" t="s">
        <v>75</v>
      </c>
      <c r="I37" s="34">
        <f>I17-I29</f>
        <v>-1326.0299999999988</v>
      </c>
      <c r="J37" s="19"/>
      <c r="K37" s="20"/>
    </row>
    <row r="38" spans="1:11" x14ac:dyDescent="0.35">
      <c r="A38" s="11" t="s">
        <v>76</v>
      </c>
      <c r="B38" s="40"/>
      <c r="C38" s="24"/>
      <c r="D38" s="24"/>
      <c r="E38" s="24"/>
      <c r="F38" s="24"/>
      <c r="G38" s="24"/>
      <c r="H38" s="1" t="s">
        <v>77</v>
      </c>
      <c r="I38" s="18"/>
      <c r="J38" s="19"/>
      <c r="K38" s="20"/>
    </row>
    <row r="39" spans="1:11" x14ac:dyDescent="0.35">
      <c r="A39" s="11" t="s">
        <v>78</v>
      </c>
      <c r="B39" s="31"/>
      <c r="C39" s="24"/>
      <c r="D39" s="24"/>
      <c r="E39" s="24"/>
      <c r="F39" s="24"/>
      <c r="G39" s="24"/>
      <c r="H39" s="1" t="s">
        <v>79</v>
      </c>
      <c r="I39" s="18"/>
      <c r="J39" s="19"/>
      <c r="K39" s="20"/>
    </row>
    <row r="40" spans="1:11" x14ac:dyDescent="0.35">
      <c r="A40" s="11" t="s">
        <v>80</v>
      </c>
      <c r="B40" s="31"/>
      <c r="C40" s="24"/>
      <c r="D40" s="24"/>
      <c r="E40" s="24"/>
      <c r="F40" s="24"/>
      <c r="G40" s="24"/>
      <c r="H40" s="1" t="s">
        <v>81</v>
      </c>
      <c r="I40" s="18"/>
      <c r="J40" s="19"/>
      <c r="K40" s="20"/>
    </row>
    <row r="41" spans="1:11" x14ac:dyDescent="0.35">
      <c r="A41" s="12" t="s">
        <v>82</v>
      </c>
      <c r="B41" s="31"/>
      <c r="C41" s="24"/>
      <c r="D41" s="24"/>
      <c r="E41" s="24"/>
      <c r="F41" s="24"/>
      <c r="G41" s="24"/>
      <c r="H41" s="1" t="s">
        <v>83</v>
      </c>
      <c r="I41" s="18"/>
      <c r="J41" s="19"/>
      <c r="K41" s="20"/>
    </row>
    <row r="42" spans="1:11" x14ac:dyDescent="0.35">
      <c r="A42" s="28" t="s">
        <v>84</v>
      </c>
      <c r="B42" s="19"/>
      <c r="C42" s="19"/>
      <c r="D42" s="19"/>
      <c r="E42" s="19"/>
      <c r="F42" s="19"/>
      <c r="G42" s="20"/>
      <c r="H42" s="1" t="s">
        <v>85</v>
      </c>
      <c r="I42" s="34">
        <f>I37+I38-I40</f>
        <v>-1326.0299999999988</v>
      </c>
      <c r="J42" s="19"/>
      <c r="K42" s="20"/>
    </row>
    <row r="43" spans="1:11" x14ac:dyDescent="0.35">
      <c r="I43" s="9"/>
      <c r="J43" s="9"/>
      <c r="K43" s="9"/>
    </row>
    <row r="44" spans="1:11" x14ac:dyDescent="0.35">
      <c r="A44" s="28" t="s">
        <v>86</v>
      </c>
      <c r="B44" s="19"/>
      <c r="C44" s="19"/>
      <c r="D44" s="19"/>
      <c r="E44" s="19"/>
      <c r="F44" s="19"/>
      <c r="G44" s="20"/>
      <c r="H44" s="1" t="s">
        <v>87</v>
      </c>
      <c r="I44" s="34">
        <f>I37+I38-I40</f>
        <v>-1326.0299999999988</v>
      </c>
      <c r="J44" s="19"/>
      <c r="K44" s="20"/>
    </row>
    <row r="45" spans="1:11" x14ac:dyDescent="0.35">
      <c r="H45" s="13"/>
      <c r="I45" s="13"/>
      <c r="J45" s="14"/>
    </row>
  </sheetData>
  <mergeCells count="71">
    <mergeCell ref="A42:G42"/>
    <mergeCell ref="C10:E10"/>
    <mergeCell ref="A7:A9"/>
    <mergeCell ref="I36:K36"/>
    <mergeCell ref="B32:G34"/>
    <mergeCell ref="H1:I4"/>
    <mergeCell ref="I27:K27"/>
    <mergeCell ref="C19:G19"/>
    <mergeCell ref="I26:K26"/>
    <mergeCell ref="F10:G12"/>
    <mergeCell ref="B36:G36"/>
    <mergeCell ref="I13:K13"/>
    <mergeCell ref="I9:K9"/>
    <mergeCell ref="I40:K40"/>
    <mergeCell ref="I34:K34"/>
    <mergeCell ref="C23:G23"/>
    <mergeCell ref="I30:K30"/>
    <mergeCell ref="C15:E15"/>
    <mergeCell ref="I15:K15"/>
    <mergeCell ref="B38:G41"/>
    <mergeCell ref="I11:K11"/>
    <mergeCell ref="C14:E14"/>
    <mergeCell ref="B37:E37"/>
    <mergeCell ref="A44:G44"/>
    <mergeCell ref="I24:K24"/>
    <mergeCell ref="I42:K42"/>
    <mergeCell ref="C20:G20"/>
    <mergeCell ref="C11:E11"/>
    <mergeCell ref="I14:K14"/>
    <mergeCell ref="I23:K23"/>
    <mergeCell ref="I25:K25"/>
    <mergeCell ref="I39:K39"/>
    <mergeCell ref="C25:G25"/>
    <mergeCell ref="A30:G30"/>
    <mergeCell ref="I17:K17"/>
    <mergeCell ref="I20:K20"/>
    <mergeCell ref="I44:K44"/>
    <mergeCell ref="C22:G22"/>
    <mergeCell ref="I29:K29"/>
    <mergeCell ref="J1:K1"/>
    <mergeCell ref="A29:G29"/>
    <mergeCell ref="I12:K12"/>
    <mergeCell ref="I21:K21"/>
    <mergeCell ref="C12:E12"/>
    <mergeCell ref="A13:A15"/>
    <mergeCell ref="A1:G4"/>
    <mergeCell ref="A5:K6"/>
    <mergeCell ref="C8:E8"/>
    <mergeCell ref="I8:K8"/>
    <mergeCell ref="C7:E7"/>
    <mergeCell ref="I7:K7"/>
    <mergeCell ref="I19:K19"/>
    <mergeCell ref="C21:G21"/>
    <mergeCell ref="A18:K18"/>
    <mergeCell ref="I10:K10"/>
    <mergeCell ref="I41:K41"/>
    <mergeCell ref="C16:E16"/>
    <mergeCell ref="I16:K16"/>
    <mergeCell ref="I32:K32"/>
    <mergeCell ref="J2:K4"/>
    <mergeCell ref="A17:G17"/>
    <mergeCell ref="A26:G28"/>
    <mergeCell ref="I28:K28"/>
    <mergeCell ref="I22:K22"/>
    <mergeCell ref="C24:G24"/>
    <mergeCell ref="F16:G16"/>
    <mergeCell ref="I37:K37"/>
    <mergeCell ref="C9:E9"/>
    <mergeCell ref="I33:K33"/>
    <mergeCell ref="I38:K38"/>
    <mergeCell ref="C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3" max="3" width="11.1796875" bestFit="1" customWidth="1"/>
    <col min="4" max="4" width="34.90625" bestFit="1" customWidth="1"/>
    <col min="5" max="5" width="12" bestFit="1" customWidth="1"/>
  </cols>
  <sheetData>
    <row r="1" spans="1:19" x14ac:dyDescent="0.35">
      <c r="A1" s="15" t="s">
        <v>88</v>
      </c>
      <c r="B1" s="15" t="s">
        <v>89</v>
      </c>
      <c r="C1" s="15" t="s">
        <v>90</v>
      </c>
      <c r="D1" s="15" t="s">
        <v>91</v>
      </c>
      <c r="E1" s="15" t="s">
        <v>92</v>
      </c>
      <c r="F1" s="15" t="s">
        <v>93</v>
      </c>
      <c r="G1" s="15" t="s">
        <v>94</v>
      </c>
      <c r="H1" s="15" t="s">
        <v>95</v>
      </c>
      <c r="I1" s="15" t="s">
        <v>96</v>
      </c>
      <c r="J1" s="15" t="s">
        <v>97</v>
      </c>
      <c r="K1" s="15" t="s">
        <v>98</v>
      </c>
      <c r="L1" s="15" t="s">
        <v>99</v>
      </c>
      <c r="M1" s="15" t="s">
        <v>100</v>
      </c>
      <c r="N1" s="15" t="s">
        <v>101</v>
      </c>
      <c r="O1" s="15" t="s">
        <v>102</v>
      </c>
      <c r="P1" s="15" t="s">
        <v>103</v>
      </c>
      <c r="Q1" s="15" t="s">
        <v>104</v>
      </c>
      <c r="R1" s="15" t="s">
        <v>105</v>
      </c>
      <c r="S1" s="15" t="s">
        <v>106</v>
      </c>
    </row>
    <row r="2" spans="1:19" x14ac:dyDescent="0.35">
      <c r="A2" t="s">
        <v>107</v>
      </c>
      <c r="B2" t="s">
        <v>108</v>
      </c>
      <c r="C2" t="s">
        <v>109</v>
      </c>
      <c r="D2" t="s">
        <v>109</v>
      </c>
      <c r="E2" t="s">
        <v>110</v>
      </c>
      <c r="F2" t="s">
        <v>111</v>
      </c>
      <c r="G2">
        <v>37263</v>
      </c>
      <c r="H2" t="s">
        <v>112</v>
      </c>
      <c r="I2" t="s">
        <v>113</v>
      </c>
      <c r="J2" t="s">
        <v>114</v>
      </c>
      <c r="K2" t="s">
        <v>115</v>
      </c>
      <c r="L2">
        <v>-31432.7</v>
      </c>
      <c r="M2">
        <v>0</v>
      </c>
      <c r="O2" t="s">
        <v>116</v>
      </c>
      <c r="P2">
        <v>0</v>
      </c>
      <c r="Q2" t="s">
        <v>117</v>
      </c>
      <c r="R2" t="s">
        <v>118</v>
      </c>
      <c r="S2" t="str">
        <f>IFERROR(VLOOKUP(TRIM(J2),'VAT Validation'!A:B,2,FALSE),"")</f>
        <v>VALID</v>
      </c>
    </row>
    <row r="3" spans="1:19" x14ac:dyDescent="0.35">
      <c r="A3" t="s">
        <v>107</v>
      </c>
      <c r="B3" t="s">
        <v>119</v>
      </c>
      <c r="C3" t="s">
        <v>120</v>
      </c>
      <c r="D3" t="s">
        <v>120</v>
      </c>
      <c r="E3" t="s">
        <v>109</v>
      </c>
      <c r="F3" t="s">
        <v>111</v>
      </c>
      <c r="G3">
        <v>37263</v>
      </c>
      <c r="H3" t="s">
        <v>112</v>
      </c>
      <c r="I3" t="s">
        <v>113</v>
      </c>
      <c r="J3" t="s">
        <v>114</v>
      </c>
      <c r="K3" t="s">
        <v>115</v>
      </c>
      <c r="L3">
        <v>-6814.51</v>
      </c>
      <c r="M3">
        <v>0</v>
      </c>
      <c r="O3" t="s">
        <v>116</v>
      </c>
      <c r="P3">
        <v>0</v>
      </c>
      <c r="Q3" t="s">
        <v>117</v>
      </c>
      <c r="R3" t="s">
        <v>118</v>
      </c>
      <c r="S3" t="str">
        <f>IFERROR(VLOOKUP(TRIM(J3),'VAT Validation'!A:B,2,FALSE),"")</f>
        <v>VALID</v>
      </c>
    </row>
    <row r="4" spans="1:19" x14ac:dyDescent="0.35">
      <c r="A4" t="s">
        <v>107</v>
      </c>
      <c r="B4" t="s">
        <v>121</v>
      </c>
      <c r="C4" t="s">
        <v>120</v>
      </c>
      <c r="D4" t="s">
        <v>120</v>
      </c>
      <c r="E4" t="s">
        <v>109</v>
      </c>
      <c r="F4" t="s">
        <v>111</v>
      </c>
      <c r="G4">
        <v>37263</v>
      </c>
      <c r="H4" t="s">
        <v>112</v>
      </c>
      <c r="I4" t="s">
        <v>113</v>
      </c>
      <c r="J4" t="s">
        <v>114</v>
      </c>
      <c r="K4" t="s">
        <v>115</v>
      </c>
      <c r="L4">
        <v>-3253.78</v>
      </c>
      <c r="M4">
        <v>0</v>
      </c>
      <c r="O4" t="s">
        <v>116</v>
      </c>
      <c r="P4">
        <v>0</v>
      </c>
      <c r="Q4" t="s">
        <v>117</v>
      </c>
      <c r="R4" t="s">
        <v>118</v>
      </c>
      <c r="S4" t="str">
        <f>IFERROR(VLOOKUP(TRIM(J4),'VAT Validation'!A:B,2,FALSE),"")</f>
        <v>VALID</v>
      </c>
    </row>
    <row r="5" spans="1:19" x14ac:dyDescent="0.35">
      <c r="A5" t="s">
        <v>107</v>
      </c>
      <c r="B5" t="s">
        <v>122</v>
      </c>
      <c r="C5" t="s">
        <v>120</v>
      </c>
      <c r="D5" t="s">
        <v>120</v>
      </c>
      <c r="E5" t="s">
        <v>109</v>
      </c>
      <c r="F5" t="s">
        <v>111</v>
      </c>
      <c r="G5">
        <v>37263</v>
      </c>
      <c r="H5" t="s">
        <v>112</v>
      </c>
      <c r="I5" t="s">
        <v>113</v>
      </c>
      <c r="J5" t="s">
        <v>114</v>
      </c>
      <c r="K5" t="s">
        <v>115</v>
      </c>
      <c r="L5">
        <v>-3929.09</v>
      </c>
      <c r="M5">
        <v>0</v>
      </c>
      <c r="O5" t="s">
        <v>116</v>
      </c>
      <c r="P5">
        <v>0</v>
      </c>
      <c r="Q5" t="s">
        <v>117</v>
      </c>
      <c r="R5" t="s">
        <v>118</v>
      </c>
      <c r="S5" t="str">
        <f>IFERROR(VLOOKUP(TRIM(J5),'VAT Validation'!A:B,2,FALSE),"")</f>
        <v>VALID</v>
      </c>
    </row>
    <row r="6" spans="1:19" x14ac:dyDescent="0.35">
      <c r="A6" t="s">
        <v>107</v>
      </c>
      <c r="B6" t="s">
        <v>123</v>
      </c>
      <c r="C6" t="s">
        <v>120</v>
      </c>
      <c r="D6" t="s">
        <v>120</v>
      </c>
      <c r="E6" t="s">
        <v>120</v>
      </c>
      <c r="F6" t="s">
        <v>111</v>
      </c>
      <c r="G6">
        <v>37263</v>
      </c>
      <c r="H6" t="s">
        <v>112</v>
      </c>
      <c r="I6" t="s">
        <v>113</v>
      </c>
      <c r="J6" t="s">
        <v>114</v>
      </c>
      <c r="K6" t="s">
        <v>115</v>
      </c>
      <c r="L6">
        <v>-7980.96</v>
      </c>
      <c r="M6">
        <v>0</v>
      </c>
      <c r="O6" t="s">
        <v>116</v>
      </c>
      <c r="P6">
        <v>0</v>
      </c>
      <c r="Q6" t="s">
        <v>117</v>
      </c>
      <c r="R6" t="s">
        <v>118</v>
      </c>
      <c r="S6" t="str">
        <f>IFERROR(VLOOKUP(TRIM(J6),'VAT Validation'!A:B,2,FALSE),"")</f>
        <v>VALID</v>
      </c>
    </row>
    <row r="7" spans="1:19" x14ac:dyDescent="0.35">
      <c r="A7" t="s">
        <v>107</v>
      </c>
      <c r="B7" t="s">
        <v>124</v>
      </c>
      <c r="C7" t="s">
        <v>125</v>
      </c>
      <c r="D7" t="s">
        <v>125</v>
      </c>
      <c r="E7" t="s">
        <v>125</v>
      </c>
      <c r="F7" t="s">
        <v>111</v>
      </c>
      <c r="G7">
        <v>37263</v>
      </c>
      <c r="H7" t="s">
        <v>112</v>
      </c>
      <c r="I7" t="s">
        <v>113</v>
      </c>
      <c r="J7" t="s">
        <v>114</v>
      </c>
      <c r="K7" t="s">
        <v>115</v>
      </c>
      <c r="L7">
        <v>-7980.96</v>
      </c>
      <c r="M7">
        <v>0</v>
      </c>
      <c r="O7" t="s">
        <v>116</v>
      </c>
      <c r="P7">
        <v>0</v>
      </c>
      <c r="Q7" t="s">
        <v>117</v>
      </c>
      <c r="R7" t="s">
        <v>118</v>
      </c>
      <c r="S7" t="str">
        <f>IFERROR(VLOOKUP(TRIM(J7),'VAT Validation'!A:B,2,FALSE),"")</f>
        <v>VALID</v>
      </c>
    </row>
    <row r="8" spans="1:19" x14ac:dyDescent="0.35">
      <c r="A8" t="s">
        <v>107</v>
      </c>
      <c r="B8" t="s">
        <v>126</v>
      </c>
      <c r="C8" t="s">
        <v>127</v>
      </c>
      <c r="D8" t="s">
        <v>127</v>
      </c>
      <c r="E8" t="s">
        <v>127</v>
      </c>
      <c r="F8" t="s">
        <v>111</v>
      </c>
      <c r="G8">
        <v>37263</v>
      </c>
      <c r="H8" t="s">
        <v>112</v>
      </c>
      <c r="I8" t="s">
        <v>113</v>
      </c>
      <c r="J8" t="s">
        <v>114</v>
      </c>
      <c r="K8" t="s">
        <v>115</v>
      </c>
      <c r="L8">
        <v>-7980.96</v>
      </c>
      <c r="M8">
        <v>0</v>
      </c>
      <c r="O8" t="s">
        <v>116</v>
      </c>
      <c r="P8">
        <v>0</v>
      </c>
      <c r="Q8" t="s">
        <v>117</v>
      </c>
      <c r="R8" t="s">
        <v>118</v>
      </c>
      <c r="S8" t="str">
        <f>IFERROR(VLOOKUP(TRIM(J8),'VAT Validation'!A:B,2,FALSE),"")</f>
        <v>VALID</v>
      </c>
    </row>
    <row r="9" spans="1:19" x14ac:dyDescent="0.35">
      <c r="A9" t="s">
        <v>128</v>
      </c>
      <c r="B9" t="s">
        <v>129</v>
      </c>
      <c r="C9" t="s">
        <v>130</v>
      </c>
      <c r="D9" t="s">
        <v>131</v>
      </c>
      <c r="G9">
        <v>608760</v>
      </c>
      <c r="H9" t="s">
        <v>132</v>
      </c>
      <c r="I9" t="s">
        <v>113</v>
      </c>
      <c r="J9" t="s">
        <v>133</v>
      </c>
      <c r="K9" t="s">
        <v>134</v>
      </c>
      <c r="L9">
        <v>0</v>
      </c>
      <c r="M9">
        <v>-361.15</v>
      </c>
      <c r="N9">
        <v>-361.15</v>
      </c>
      <c r="O9" t="s">
        <v>116</v>
      </c>
      <c r="P9">
        <v>0</v>
      </c>
      <c r="Q9" t="s">
        <v>135</v>
      </c>
      <c r="R9" t="s">
        <v>136</v>
      </c>
      <c r="S9" t="str">
        <f>IFERROR(VLOOKUP(TRIM(J9),'VAT Validation'!A:B,2,FALSE),"")</f>
        <v>VALID</v>
      </c>
    </row>
    <row r="10" spans="1:19" x14ac:dyDescent="0.35">
      <c r="A10" t="s">
        <v>128</v>
      </c>
      <c r="B10" t="s">
        <v>129</v>
      </c>
      <c r="C10" t="s">
        <v>130</v>
      </c>
      <c r="D10" t="s">
        <v>131</v>
      </c>
      <c r="G10">
        <v>608760</v>
      </c>
      <c r="H10" t="s">
        <v>132</v>
      </c>
      <c r="I10" t="s">
        <v>113</v>
      </c>
      <c r="J10" t="s">
        <v>133</v>
      </c>
      <c r="K10" t="s">
        <v>137</v>
      </c>
      <c r="L10">
        <v>1719.76</v>
      </c>
      <c r="M10">
        <v>361.15</v>
      </c>
      <c r="N10">
        <v>361.15</v>
      </c>
      <c r="O10" t="s">
        <v>116</v>
      </c>
      <c r="P10">
        <v>21</v>
      </c>
      <c r="Q10" t="s">
        <v>138</v>
      </c>
      <c r="R10" t="s">
        <v>136</v>
      </c>
      <c r="S10" t="str">
        <f>IFERROR(VLOOKUP(TRIM(J10),'VAT Validation'!A:B,2,FALSE),"")</f>
        <v>VALID</v>
      </c>
    </row>
    <row r="11" spans="1:19" x14ac:dyDescent="0.35">
      <c r="A11" t="s">
        <v>128</v>
      </c>
      <c r="B11" t="s">
        <v>139</v>
      </c>
      <c r="C11" t="s">
        <v>140</v>
      </c>
      <c r="D11" t="s">
        <v>141</v>
      </c>
      <c r="G11">
        <v>608760</v>
      </c>
      <c r="H11" t="s">
        <v>132</v>
      </c>
      <c r="I11" t="s">
        <v>113</v>
      </c>
      <c r="J11" t="s">
        <v>133</v>
      </c>
      <c r="K11" t="s">
        <v>134</v>
      </c>
      <c r="L11">
        <v>0</v>
      </c>
      <c r="M11">
        <v>-1337.78</v>
      </c>
      <c r="N11">
        <v>-1337.78</v>
      </c>
      <c r="O11" t="s">
        <v>116</v>
      </c>
      <c r="P11">
        <v>0</v>
      </c>
      <c r="Q11" t="s">
        <v>135</v>
      </c>
      <c r="R11" t="s">
        <v>136</v>
      </c>
      <c r="S11" t="str">
        <f>IFERROR(VLOOKUP(TRIM(J11),'VAT Validation'!A:B,2,FALSE),"")</f>
        <v>VALID</v>
      </c>
    </row>
    <row r="12" spans="1:19" x14ac:dyDescent="0.35">
      <c r="A12" t="s">
        <v>128</v>
      </c>
      <c r="B12" t="s">
        <v>139</v>
      </c>
      <c r="C12" t="s">
        <v>140</v>
      </c>
      <c r="D12" t="s">
        <v>141</v>
      </c>
      <c r="G12">
        <v>608760</v>
      </c>
      <c r="H12" t="s">
        <v>132</v>
      </c>
      <c r="I12" t="s">
        <v>113</v>
      </c>
      <c r="J12" t="s">
        <v>133</v>
      </c>
      <c r="K12" t="s">
        <v>137</v>
      </c>
      <c r="L12">
        <v>6370.38</v>
      </c>
      <c r="M12">
        <v>1337.78</v>
      </c>
      <c r="N12">
        <v>1337.78</v>
      </c>
      <c r="O12" t="s">
        <v>116</v>
      </c>
      <c r="P12">
        <v>21</v>
      </c>
      <c r="Q12" t="s">
        <v>138</v>
      </c>
      <c r="R12" t="s">
        <v>136</v>
      </c>
      <c r="S12" t="str">
        <f>IFERROR(VLOOKUP(TRIM(J12),'VAT Validation'!A:B,2,FALSE),"")</f>
        <v>VALID</v>
      </c>
    </row>
    <row r="13" spans="1:19" x14ac:dyDescent="0.35">
      <c r="A13" t="s">
        <v>107</v>
      </c>
      <c r="B13" t="s">
        <v>142</v>
      </c>
      <c r="C13" t="s">
        <v>130</v>
      </c>
      <c r="D13" t="s">
        <v>130</v>
      </c>
      <c r="E13" t="s">
        <v>130</v>
      </c>
      <c r="F13" t="s">
        <v>111</v>
      </c>
      <c r="G13">
        <v>11674</v>
      </c>
      <c r="H13" t="s">
        <v>143</v>
      </c>
      <c r="I13" t="s">
        <v>113</v>
      </c>
      <c r="J13" s="16"/>
      <c r="K13" t="s">
        <v>144</v>
      </c>
      <c r="L13">
        <v>-5194</v>
      </c>
      <c r="M13">
        <v>-1090.74</v>
      </c>
      <c r="N13">
        <v>-1090.74</v>
      </c>
      <c r="O13" t="s">
        <v>116</v>
      </c>
      <c r="P13">
        <v>21</v>
      </c>
      <c r="Q13" t="s">
        <v>145</v>
      </c>
      <c r="R13" t="s">
        <v>136</v>
      </c>
      <c r="S13" t="str">
        <f>IFERROR(VLOOKUP(TRIM(J13),'VAT Validation'!A:B,2,FALSE),"")</f>
        <v/>
      </c>
    </row>
    <row r="14" spans="1:19" x14ac:dyDescent="0.35">
      <c r="A14" t="s">
        <v>107</v>
      </c>
      <c r="B14" t="s">
        <v>146</v>
      </c>
      <c r="C14" t="s">
        <v>140</v>
      </c>
      <c r="D14" t="s">
        <v>141</v>
      </c>
      <c r="E14" t="s">
        <v>140</v>
      </c>
      <c r="F14" t="s">
        <v>147</v>
      </c>
      <c r="G14">
        <v>11690</v>
      </c>
      <c r="H14" t="s">
        <v>148</v>
      </c>
      <c r="I14" t="s">
        <v>113</v>
      </c>
      <c r="J14" s="16"/>
      <c r="K14" t="s">
        <v>144</v>
      </c>
      <c r="L14">
        <v>-7333.2</v>
      </c>
      <c r="M14">
        <v>-1539.97</v>
      </c>
      <c r="N14">
        <v>-1539.97</v>
      </c>
      <c r="O14" t="s">
        <v>116</v>
      </c>
      <c r="P14">
        <v>21</v>
      </c>
      <c r="Q14" t="s">
        <v>145</v>
      </c>
      <c r="R14" t="s">
        <v>136</v>
      </c>
      <c r="S14" t="str">
        <f>IFERROR(VLOOKUP(TRIM(J14),'VAT Validation'!A:B,2,FALSE),"")</f>
        <v/>
      </c>
    </row>
    <row r="15" spans="1:19" x14ac:dyDescent="0.35">
      <c r="A15" t="s">
        <v>107</v>
      </c>
      <c r="B15" t="s">
        <v>149</v>
      </c>
      <c r="C15" t="s">
        <v>150</v>
      </c>
      <c r="D15" t="s">
        <v>150</v>
      </c>
      <c r="E15" t="s">
        <v>150</v>
      </c>
      <c r="F15" t="s">
        <v>111</v>
      </c>
      <c r="G15">
        <v>37263</v>
      </c>
      <c r="H15" t="s">
        <v>112</v>
      </c>
      <c r="I15" t="s">
        <v>113</v>
      </c>
      <c r="J15" t="s">
        <v>114</v>
      </c>
      <c r="K15" t="s">
        <v>115</v>
      </c>
      <c r="L15">
        <v>-3990.48</v>
      </c>
      <c r="M15">
        <v>0</v>
      </c>
      <c r="O15" t="s">
        <v>116</v>
      </c>
      <c r="P15">
        <v>0</v>
      </c>
      <c r="Q15" t="s">
        <v>117</v>
      </c>
      <c r="R15" t="s">
        <v>118</v>
      </c>
      <c r="S15" t="str">
        <f>IFERROR(VLOOKUP(TRIM(J15),'VAT Validation'!A:B,2,FALSE),"")</f>
        <v>VALID</v>
      </c>
    </row>
    <row r="16" spans="1:19" x14ac:dyDescent="0.35">
      <c r="A16" t="s">
        <v>107</v>
      </c>
      <c r="B16" t="s">
        <v>151</v>
      </c>
      <c r="C16" t="s">
        <v>152</v>
      </c>
      <c r="D16" t="s">
        <v>152</v>
      </c>
      <c r="E16" t="s">
        <v>152</v>
      </c>
      <c r="F16" t="s">
        <v>111</v>
      </c>
      <c r="G16">
        <v>37263</v>
      </c>
      <c r="H16" t="s">
        <v>112</v>
      </c>
      <c r="I16" t="s">
        <v>113</v>
      </c>
      <c r="J16" t="s">
        <v>114</v>
      </c>
      <c r="K16" t="s">
        <v>115</v>
      </c>
      <c r="L16">
        <v>-3990.48</v>
      </c>
      <c r="M16">
        <v>0</v>
      </c>
      <c r="O16" t="s">
        <v>116</v>
      </c>
      <c r="P16">
        <v>0</v>
      </c>
      <c r="Q16" t="s">
        <v>117</v>
      </c>
      <c r="R16" t="s">
        <v>118</v>
      </c>
      <c r="S16" t="str">
        <f>IFERROR(VLOOKUP(TRIM(J16),'VAT Validation'!A:B,2,FALSE),"")</f>
        <v>VALID</v>
      </c>
    </row>
    <row r="17" spans="1:19" x14ac:dyDescent="0.35">
      <c r="A17" t="s">
        <v>107</v>
      </c>
      <c r="B17" t="s">
        <v>153</v>
      </c>
      <c r="C17" t="s">
        <v>154</v>
      </c>
      <c r="D17" t="s">
        <v>154</v>
      </c>
      <c r="E17" t="s">
        <v>109</v>
      </c>
      <c r="F17" t="s">
        <v>111</v>
      </c>
      <c r="G17">
        <v>37263</v>
      </c>
      <c r="H17" t="s">
        <v>112</v>
      </c>
      <c r="I17" t="s">
        <v>113</v>
      </c>
      <c r="J17" t="s">
        <v>114</v>
      </c>
      <c r="K17" t="s">
        <v>115</v>
      </c>
      <c r="L17">
        <v>-1446</v>
      </c>
      <c r="M17">
        <v>0</v>
      </c>
      <c r="O17" t="s">
        <v>116</v>
      </c>
      <c r="P17">
        <v>0</v>
      </c>
      <c r="Q17" t="s">
        <v>117</v>
      </c>
      <c r="R17" t="s">
        <v>118</v>
      </c>
      <c r="S17" t="str">
        <f>IFERROR(VLOOKUP(TRIM(J17),'VAT Validation'!A:B,2,FALSE),"")</f>
        <v>VALID</v>
      </c>
    </row>
    <row r="18" spans="1:19" x14ac:dyDescent="0.35">
      <c r="A18" t="s">
        <v>107</v>
      </c>
      <c r="B18" t="s">
        <v>155</v>
      </c>
      <c r="C18" t="s">
        <v>154</v>
      </c>
      <c r="D18" t="s">
        <v>154</v>
      </c>
      <c r="E18" t="s">
        <v>109</v>
      </c>
      <c r="F18" t="s">
        <v>111</v>
      </c>
      <c r="G18">
        <v>37263</v>
      </c>
      <c r="H18" t="s">
        <v>112</v>
      </c>
      <c r="I18" t="s">
        <v>113</v>
      </c>
      <c r="J18" t="s">
        <v>114</v>
      </c>
      <c r="K18" t="s">
        <v>115</v>
      </c>
      <c r="L18">
        <v>-1446</v>
      </c>
      <c r="M18">
        <v>0</v>
      </c>
      <c r="O18" t="s">
        <v>116</v>
      </c>
      <c r="P18">
        <v>0</v>
      </c>
      <c r="Q18" t="s">
        <v>117</v>
      </c>
      <c r="R18" t="s">
        <v>118</v>
      </c>
      <c r="S18" t="str">
        <f>IFERROR(VLOOKUP(TRIM(J18),'VAT Validation'!A:B,2,FALSE),"")</f>
        <v>VALID</v>
      </c>
    </row>
    <row r="19" spans="1:19" x14ac:dyDescent="0.35">
      <c r="A19" t="s">
        <v>107</v>
      </c>
      <c r="B19" t="s">
        <v>156</v>
      </c>
      <c r="C19" t="s">
        <v>154</v>
      </c>
      <c r="D19" t="s">
        <v>154</v>
      </c>
      <c r="E19" t="s">
        <v>109</v>
      </c>
      <c r="F19" t="s">
        <v>111</v>
      </c>
      <c r="G19">
        <v>37263</v>
      </c>
      <c r="H19" t="s">
        <v>112</v>
      </c>
      <c r="I19" t="s">
        <v>113</v>
      </c>
      <c r="J19" t="s">
        <v>114</v>
      </c>
      <c r="K19" t="s">
        <v>115</v>
      </c>
      <c r="L19">
        <v>-13737</v>
      </c>
      <c r="M19">
        <v>0</v>
      </c>
      <c r="O19" t="s">
        <v>116</v>
      </c>
      <c r="P19">
        <v>0</v>
      </c>
      <c r="Q19" t="s">
        <v>117</v>
      </c>
      <c r="R19" t="s">
        <v>118</v>
      </c>
      <c r="S19" t="str">
        <f>IFERROR(VLOOKUP(TRIM(J19),'VAT Validation'!A:B,2,FALSE),"")</f>
        <v>VALID</v>
      </c>
    </row>
    <row r="20" spans="1:19" x14ac:dyDescent="0.35">
      <c r="A20" t="s">
        <v>107</v>
      </c>
      <c r="B20" t="s">
        <v>157</v>
      </c>
      <c r="C20" t="s">
        <v>154</v>
      </c>
      <c r="D20" t="s">
        <v>154</v>
      </c>
      <c r="E20" t="s">
        <v>120</v>
      </c>
      <c r="F20" t="s">
        <v>111</v>
      </c>
      <c r="G20">
        <v>37263</v>
      </c>
      <c r="H20" t="s">
        <v>112</v>
      </c>
      <c r="I20" t="s">
        <v>113</v>
      </c>
      <c r="J20" t="s">
        <v>114</v>
      </c>
      <c r="K20" t="s">
        <v>115</v>
      </c>
      <c r="L20">
        <v>-1084.5</v>
      </c>
      <c r="M20">
        <v>0</v>
      </c>
      <c r="O20" t="s">
        <v>116</v>
      </c>
      <c r="P20">
        <v>0</v>
      </c>
      <c r="Q20" t="s">
        <v>117</v>
      </c>
      <c r="R20" t="s">
        <v>118</v>
      </c>
      <c r="S20" t="str">
        <f>IFERROR(VLOOKUP(TRIM(J20),'VAT Validation'!A:B,2,FALSE),"")</f>
        <v>VALID</v>
      </c>
    </row>
    <row r="21" spans="1:19" x14ac:dyDescent="0.35">
      <c r="A21" t="s">
        <v>107</v>
      </c>
      <c r="B21" t="s">
        <v>158</v>
      </c>
      <c r="C21" t="s">
        <v>154</v>
      </c>
      <c r="D21" t="s">
        <v>154</v>
      </c>
      <c r="E21" t="s">
        <v>125</v>
      </c>
      <c r="F21" t="s">
        <v>111</v>
      </c>
      <c r="G21">
        <v>37263</v>
      </c>
      <c r="H21" t="s">
        <v>112</v>
      </c>
      <c r="I21" t="s">
        <v>113</v>
      </c>
      <c r="J21" t="s">
        <v>114</v>
      </c>
      <c r="K21" t="s">
        <v>115</v>
      </c>
      <c r="L21">
        <v>-13014</v>
      </c>
      <c r="M21">
        <v>0</v>
      </c>
      <c r="O21" t="s">
        <v>116</v>
      </c>
      <c r="P21">
        <v>0</v>
      </c>
      <c r="Q21" t="s">
        <v>117</v>
      </c>
      <c r="R21" t="s">
        <v>118</v>
      </c>
      <c r="S21" t="str">
        <f>IFERROR(VLOOKUP(TRIM(J21),'VAT Validation'!A:B,2,FALSE),"")</f>
        <v>VALID</v>
      </c>
    </row>
    <row r="22" spans="1:19" x14ac:dyDescent="0.35">
      <c r="A22" t="s">
        <v>107</v>
      </c>
      <c r="B22" t="s">
        <v>159</v>
      </c>
      <c r="C22" t="s">
        <v>154</v>
      </c>
      <c r="D22" t="s">
        <v>154</v>
      </c>
      <c r="E22" t="s">
        <v>127</v>
      </c>
      <c r="F22" t="s">
        <v>111</v>
      </c>
      <c r="G22">
        <v>37263</v>
      </c>
      <c r="H22" t="s">
        <v>112</v>
      </c>
      <c r="I22" t="s">
        <v>113</v>
      </c>
      <c r="J22" t="s">
        <v>114</v>
      </c>
      <c r="K22" t="s">
        <v>115</v>
      </c>
      <c r="L22">
        <v>-1446</v>
      </c>
      <c r="M22">
        <v>0</v>
      </c>
      <c r="O22" t="s">
        <v>116</v>
      </c>
      <c r="P22">
        <v>0</v>
      </c>
      <c r="Q22" t="s">
        <v>117</v>
      </c>
      <c r="R22" t="s">
        <v>118</v>
      </c>
      <c r="S22" t="str">
        <f>IFERROR(VLOOKUP(TRIM(J22),'VAT Validation'!A:B,2,FALSE),"")</f>
        <v>VALID</v>
      </c>
    </row>
    <row r="23" spans="1:19" x14ac:dyDescent="0.35">
      <c r="A23" t="s">
        <v>107</v>
      </c>
      <c r="B23" t="s">
        <v>160</v>
      </c>
      <c r="C23" t="s">
        <v>154</v>
      </c>
      <c r="D23" t="s">
        <v>154</v>
      </c>
      <c r="E23" t="s">
        <v>150</v>
      </c>
      <c r="F23" t="s">
        <v>111</v>
      </c>
      <c r="G23">
        <v>37263</v>
      </c>
      <c r="H23" t="s">
        <v>112</v>
      </c>
      <c r="I23" t="s">
        <v>113</v>
      </c>
      <c r="J23" t="s">
        <v>114</v>
      </c>
      <c r="K23" t="s">
        <v>115</v>
      </c>
      <c r="L23">
        <v>-1446</v>
      </c>
      <c r="M23">
        <v>0</v>
      </c>
      <c r="O23" t="s">
        <v>116</v>
      </c>
      <c r="P23">
        <v>0</v>
      </c>
      <c r="Q23" t="s">
        <v>117</v>
      </c>
      <c r="R23" t="s">
        <v>118</v>
      </c>
      <c r="S23" t="str">
        <f>IFERROR(VLOOKUP(TRIM(J23),'VAT Validation'!A:B,2,FALSE),"")</f>
        <v>VALID</v>
      </c>
    </row>
    <row r="24" spans="1:19" x14ac:dyDescent="0.35">
      <c r="A24" t="s">
        <v>107</v>
      </c>
      <c r="B24" t="s">
        <v>161</v>
      </c>
      <c r="C24" t="s">
        <v>154</v>
      </c>
      <c r="D24" t="s">
        <v>154</v>
      </c>
      <c r="E24" t="s">
        <v>152</v>
      </c>
      <c r="F24" t="s">
        <v>111</v>
      </c>
      <c r="G24">
        <v>37263</v>
      </c>
      <c r="H24" t="s">
        <v>112</v>
      </c>
      <c r="I24" t="s">
        <v>113</v>
      </c>
      <c r="J24" t="s">
        <v>114</v>
      </c>
      <c r="K24" t="s">
        <v>115</v>
      </c>
      <c r="L24">
        <v>-12652.5</v>
      </c>
      <c r="M24">
        <v>0</v>
      </c>
      <c r="O24" t="s">
        <v>116</v>
      </c>
      <c r="P24">
        <v>0</v>
      </c>
      <c r="Q24" t="s">
        <v>117</v>
      </c>
      <c r="R24" t="s">
        <v>118</v>
      </c>
      <c r="S24" t="str">
        <f>IFERROR(VLOOKUP(TRIM(J24),'VAT Validation'!A:B,2,FALSE),"")</f>
        <v>VALID</v>
      </c>
    </row>
    <row r="25" spans="1:19" x14ac:dyDescent="0.35">
      <c r="A25" t="s">
        <v>107</v>
      </c>
      <c r="B25" t="s">
        <v>162</v>
      </c>
      <c r="C25" t="s">
        <v>154</v>
      </c>
      <c r="D25" t="s">
        <v>154</v>
      </c>
      <c r="E25" t="s">
        <v>154</v>
      </c>
      <c r="F25" t="s">
        <v>111</v>
      </c>
      <c r="G25">
        <v>37263</v>
      </c>
      <c r="H25" t="s">
        <v>112</v>
      </c>
      <c r="I25" t="s">
        <v>113</v>
      </c>
      <c r="J25" t="s">
        <v>114</v>
      </c>
      <c r="K25" t="s">
        <v>115</v>
      </c>
      <c r="L25">
        <v>-1446</v>
      </c>
      <c r="M25">
        <v>0</v>
      </c>
      <c r="O25" t="s">
        <v>116</v>
      </c>
      <c r="P25">
        <v>0</v>
      </c>
      <c r="Q25" t="s">
        <v>117</v>
      </c>
      <c r="R25" t="s">
        <v>118</v>
      </c>
      <c r="S25" t="str">
        <f>IFERROR(VLOOKUP(TRIM(J25),'VAT Validation'!A:B,2,FALSE),"")</f>
        <v>VALID</v>
      </c>
    </row>
    <row r="26" spans="1:19" x14ac:dyDescent="0.35">
      <c r="A26" t="s">
        <v>107</v>
      </c>
      <c r="B26" t="s">
        <v>163</v>
      </c>
      <c r="C26" t="s">
        <v>164</v>
      </c>
      <c r="D26" t="s">
        <v>164</v>
      </c>
      <c r="E26" t="s">
        <v>164</v>
      </c>
      <c r="F26" t="s">
        <v>111</v>
      </c>
      <c r="G26">
        <v>37263</v>
      </c>
      <c r="H26" t="s">
        <v>112</v>
      </c>
      <c r="I26" t="s">
        <v>113</v>
      </c>
      <c r="J26" t="s">
        <v>114</v>
      </c>
      <c r="K26" t="s">
        <v>115</v>
      </c>
      <c r="L26">
        <v>-16642.98</v>
      </c>
      <c r="M26">
        <v>0</v>
      </c>
      <c r="O26" t="s">
        <v>116</v>
      </c>
      <c r="P26">
        <v>0</v>
      </c>
      <c r="Q26" t="s">
        <v>117</v>
      </c>
      <c r="R26" t="s">
        <v>118</v>
      </c>
      <c r="S26" t="str">
        <f>IFERROR(VLOOKUP(TRIM(J26),'VAT Validation'!A:B,2,FALSE),"")</f>
        <v>VALID</v>
      </c>
    </row>
    <row r="27" spans="1:19" x14ac:dyDescent="0.35">
      <c r="A27" t="s">
        <v>107</v>
      </c>
      <c r="B27" t="s">
        <v>165</v>
      </c>
      <c r="C27" t="s">
        <v>166</v>
      </c>
      <c r="D27" t="s">
        <v>166</v>
      </c>
      <c r="E27" t="s">
        <v>166</v>
      </c>
      <c r="F27" t="s">
        <v>111</v>
      </c>
      <c r="G27">
        <v>37263</v>
      </c>
      <c r="H27" t="s">
        <v>112</v>
      </c>
      <c r="I27" t="s">
        <v>113</v>
      </c>
      <c r="J27" t="s">
        <v>114</v>
      </c>
      <c r="K27" t="s">
        <v>115</v>
      </c>
      <c r="L27">
        <v>-1084.5</v>
      </c>
      <c r="M27">
        <v>0</v>
      </c>
      <c r="O27" t="s">
        <v>116</v>
      </c>
      <c r="P27">
        <v>0</v>
      </c>
      <c r="Q27" t="s">
        <v>117</v>
      </c>
      <c r="R27" t="s">
        <v>118</v>
      </c>
      <c r="S27" t="str">
        <f>IFERROR(VLOOKUP(TRIM(J27),'VAT Validation'!A:B,2,FALSE),"")</f>
        <v>VALID</v>
      </c>
    </row>
    <row r="28" spans="1:19" x14ac:dyDescent="0.35">
      <c r="A28" t="s">
        <v>107</v>
      </c>
      <c r="B28" t="s">
        <v>167</v>
      </c>
      <c r="C28" t="s">
        <v>166</v>
      </c>
      <c r="D28" t="s">
        <v>166</v>
      </c>
      <c r="E28" t="s">
        <v>154</v>
      </c>
      <c r="F28" t="s">
        <v>111</v>
      </c>
      <c r="G28">
        <v>37263</v>
      </c>
      <c r="H28" t="s">
        <v>112</v>
      </c>
      <c r="I28" t="s">
        <v>113</v>
      </c>
      <c r="J28" t="s">
        <v>114</v>
      </c>
      <c r="K28" t="s">
        <v>115</v>
      </c>
      <c r="L28">
        <v>-7367.04</v>
      </c>
      <c r="M28">
        <v>0</v>
      </c>
      <c r="O28" t="s">
        <v>116</v>
      </c>
      <c r="P28">
        <v>0</v>
      </c>
      <c r="Q28" t="s">
        <v>117</v>
      </c>
      <c r="R28" t="s">
        <v>118</v>
      </c>
      <c r="S28" t="str">
        <f>IFERROR(VLOOKUP(TRIM(J28),'VAT Validation'!A:B,2,FALSE),"")</f>
        <v>VALID</v>
      </c>
    </row>
    <row r="29" spans="1:19" x14ac:dyDescent="0.35">
      <c r="A29" t="s">
        <v>107</v>
      </c>
      <c r="B29" t="s">
        <v>168</v>
      </c>
      <c r="C29" t="s">
        <v>166</v>
      </c>
      <c r="D29" t="s">
        <v>166</v>
      </c>
      <c r="E29" t="s">
        <v>166</v>
      </c>
      <c r="F29" t="s">
        <v>111</v>
      </c>
      <c r="G29">
        <v>37263</v>
      </c>
      <c r="H29" t="s">
        <v>112</v>
      </c>
      <c r="I29" t="s">
        <v>113</v>
      </c>
      <c r="J29" t="s">
        <v>114</v>
      </c>
      <c r="K29" t="s">
        <v>115</v>
      </c>
      <c r="L29">
        <v>-3990.48</v>
      </c>
      <c r="M29">
        <v>0</v>
      </c>
      <c r="O29" t="s">
        <v>116</v>
      </c>
      <c r="P29">
        <v>0</v>
      </c>
      <c r="Q29" t="s">
        <v>117</v>
      </c>
      <c r="R29" t="s">
        <v>118</v>
      </c>
      <c r="S29" t="str">
        <f>IFERROR(VLOOKUP(TRIM(J29),'VAT Validation'!A:B,2,FALSE),"")</f>
        <v>VALID</v>
      </c>
    </row>
    <row r="30" spans="1:19" x14ac:dyDescent="0.35">
      <c r="A30" t="s">
        <v>107</v>
      </c>
      <c r="B30" t="s">
        <v>169</v>
      </c>
      <c r="C30" t="s">
        <v>170</v>
      </c>
      <c r="D30" t="s">
        <v>170</v>
      </c>
      <c r="E30" t="s">
        <v>170</v>
      </c>
      <c r="F30" t="s">
        <v>111</v>
      </c>
      <c r="G30">
        <v>37263</v>
      </c>
      <c r="H30" t="s">
        <v>112</v>
      </c>
      <c r="I30" t="s">
        <v>113</v>
      </c>
      <c r="J30" t="s">
        <v>114</v>
      </c>
      <c r="K30" t="s">
        <v>115</v>
      </c>
      <c r="L30">
        <v>-21356.46</v>
      </c>
      <c r="M30">
        <v>0</v>
      </c>
      <c r="O30" t="s">
        <v>116</v>
      </c>
      <c r="P30">
        <v>0</v>
      </c>
      <c r="Q30" t="s">
        <v>117</v>
      </c>
      <c r="R30" t="s">
        <v>118</v>
      </c>
      <c r="S30" t="str">
        <f>IFERROR(VLOOKUP(TRIM(J30),'VAT Validation'!A:B,2,FALSE),"")</f>
        <v>VALID</v>
      </c>
    </row>
    <row r="31" spans="1:19" x14ac:dyDescent="0.35">
      <c r="A31" t="s">
        <v>107</v>
      </c>
      <c r="B31" t="s">
        <v>171</v>
      </c>
      <c r="C31" t="s">
        <v>172</v>
      </c>
      <c r="D31" t="s">
        <v>172</v>
      </c>
      <c r="E31" t="s">
        <v>172</v>
      </c>
      <c r="F31" t="s">
        <v>111</v>
      </c>
      <c r="G31">
        <v>37263</v>
      </c>
      <c r="H31" t="s">
        <v>112</v>
      </c>
      <c r="I31" t="s">
        <v>113</v>
      </c>
      <c r="J31" t="s">
        <v>114</v>
      </c>
      <c r="K31" t="s">
        <v>115</v>
      </c>
      <c r="L31">
        <v>-5074.9799999999996</v>
      </c>
      <c r="M31">
        <v>0</v>
      </c>
      <c r="O31" t="s">
        <v>116</v>
      </c>
      <c r="P31">
        <v>0</v>
      </c>
      <c r="Q31" t="s">
        <v>117</v>
      </c>
      <c r="R31" t="s">
        <v>118</v>
      </c>
      <c r="S31" t="str">
        <f>IFERROR(VLOOKUP(TRIM(J31),'VAT Validation'!A:B,2,FALSE),"")</f>
        <v>VALID</v>
      </c>
    </row>
    <row r="32" spans="1:19" x14ac:dyDescent="0.35">
      <c r="A32" t="s">
        <v>107</v>
      </c>
      <c r="B32" t="s">
        <v>173</v>
      </c>
      <c r="C32" t="s">
        <v>172</v>
      </c>
      <c r="D32" t="s">
        <v>172</v>
      </c>
      <c r="E32" t="s">
        <v>172</v>
      </c>
      <c r="F32" t="s">
        <v>111</v>
      </c>
      <c r="G32">
        <v>37263</v>
      </c>
      <c r="H32" t="s">
        <v>112</v>
      </c>
      <c r="I32" t="s">
        <v>113</v>
      </c>
      <c r="J32" t="s">
        <v>114</v>
      </c>
      <c r="K32" t="s">
        <v>115</v>
      </c>
      <c r="L32">
        <v>-3990.48</v>
      </c>
      <c r="M32">
        <v>0</v>
      </c>
      <c r="O32" t="s">
        <v>116</v>
      </c>
      <c r="P32">
        <v>0</v>
      </c>
      <c r="Q32" t="s">
        <v>117</v>
      </c>
      <c r="R32" t="s">
        <v>118</v>
      </c>
      <c r="S32" t="str">
        <f>IFERROR(VLOOKUP(TRIM(J32),'VAT Validation'!A:B,2,FALSE),"")</f>
        <v>VALID</v>
      </c>
    </row>
    <row r="33" spans="1:19" x14ac:dyDescent="0.35">
      <c r="A33" t="s">
        <v>107</v>
      </c>
      <c r="B33" t="s">
        <v>174</v>
      </c>
      <c r="C33" t="s">
        <v>172</v>
      </c>
      <c r="D33" t="s">
        <v>172</v>
      </c>
      <c r="E33" t="s">
        <v>172</v>
      </c>
      <c r="F33" t="s">
        <v>111</v>
      </c>
      <c r="G33">
        <v>37263</v>
      </c>
      <c r="H33" t="s">
        <v>112</v>
      </c>
      <c r="I33" t="s">
        <v>113</v>
      </c>
      <c r="J33" t="s">
        <v>114</v>
      </c>
      <c r="K33" t="s">
        <v>115</v>
      </c>
      <c r="L33">
        <v>-12291</v>
      </c>
      <c r="M33">
        <v>0</v>
      </c>
      <c r="O33" t="s">
        <v>116</v>
      </c>
      <c r="P33">
        <v>0</v>
      </c>
      <c r="Q33" t="s">
        <v>117</v>
      </c>
      <c r="R33" t="s">
        <v>118</v>
      </c>
      <c r="S33" t="str">
        <f>IFERROR(VLOOKUP(TRIM(J33),'VAT Validation'!A:B,2,FALSE),"")</f>
        <v>VALID</v>
      </c>
    </row>
    <row r="34" spans="1:19" x14ac:dyDescent="0.35">
      <c r="A34" t="s">
        <v>107</v>
      </c>
      <c r="B34" t="s">
        <v>175</v>
      </c>
      <c r="C34" t="s">
        <v>172</v>
      </c>
      <c r="D34" t="s">
        <v>172</v>
      </c>
      <c r="E34" t="s">
        <v>172</v>
      </c>
      <c r="F34" t="s">
        <v>111</v>
      </c>
      <c r="G34">
        <v>37263</v>
      </c>
      <c r="H34" t="s">
        <v>112</v>
      </c>
      <c r="I34" t="s">
        <v>113</v>
      </c>
      <c r="J34" t="s">
        <v>114</v>
      </c>
      <c r="K34" t="s">
        <v>115</v>
      </c>
      <c r="L34">
        <v>-2530.5</v>
      </c>
      <c r="M34">
        <v>0</v>
      </c>
      <c r="O34" t="s">
        <v>116</v>
      </c>
      <c r="P34">
        <v>0</v>
      </c>
      <c r="Q34" t="s">
        <v>117</v>
      </c>
      <c r="R34" t="s">
        <v>118</v>
      </c>
      <c r="S34" t="str">
        <f>IFERROR(VLOOKUP(TRIM(J34),'VAT Validation'!A:B,2,FALSE),"")</f>
        <v>VALID</v>
      </c>
    </row>
    <row r="35" spans="1:19" x14ac:dyDescent="0.35">
      <c r="A35" t="s">
        <v>107</v>
      </c>
      <c r="B35" t="s">
        <v>176</v>
      </c>
      <c r="C35" t="s">
        <v>172</v>
      </c>
      <c r="D35" t="s">
        <v>172</v>
      </c>
      <c r="E35" t="s">
        <v>172</v>
      </c>
      <c r="F35" t="s">
        <v>111</v>
      </c>
      <c r="G35">
        <v>37263</v>
      </c>
      <c r="H35" t="s">
        <v>112</v>
      </c>
      <c r="I35" t="s">
        <v>113</v>
      </c>
      <c r="J35" t="s">
        <v>114</v>
      </c>
      <c r="K35" t="s">
        <v>115</v>
      </c>
      <c r="L35">
        <v>-3990.48</v>
      </c>
      <c r="M35">
        <v>0</v>
      </c>
      <c r="O35" t="s">
        <v>116</v>
      </c>
      <c r="P35">
        <v>0</v>
      </c>
      <c r="Q35" t="s">
        <v>117</v>
      </c>
      <c r="R35" t="s">
        <v>118</v>
      </c>
      <c r="S35" t="str">
        <f>IFERROR(VLOOKUP(TRIM(J35),'VAT Validation'!A:B,2,FALSE),"")</f>
        <v>VALID</v>
      </c>
    </row>
    <row r="36" spans="1:19" x14ac:dyDescent="0.35">
      <c r="A36" t="s">
        <v>107</v>
      </c>
      <c r="B36" t="s">
        <v>177</v>
      </c>
      <c r="C36" t="s">
        <v>172</v>
      </c>
      <c r="D36" t="s">
        <v>178</v>
      </c>
      <c r="E36" t="s">
        <v>178</v>
      </c>
      <c r="F36" t="s">
        <v>111</v>
      </c>
      <c r="G36">
        <v>37263</v>
      </c>
      <c r="H36" t="s">
        <v>112</v>
      </c>
      <c r="I36" t="s">
        <v>113</v>
      </c>
      <c r="J36" t="s">
        <v>114</v>
      </c>
      <c r="K36" t="s">
        <v>115</v>
      </c>
      <c r="L36">
        <v>-5436.48</v>
      </c>
      <c r="M36">
        <v>0</v>
      </c>
      <c r="O36" t="s">
        <v>116</v>
      </c>
      <c r="P36">
        <v>0</v>
      </c>
      <c r="Q36" t="s">
        <v>117</v>
      </c>
      <c r="R36" t="s">
        <v>118</v>
      </c>
      <c r="S36" t="str">
        <f>IFERROR(VLOOKUP(TRIM(J36),'VAT Validation'!A:B,2,FALSE),"")</f>
        <v>VALID</v>
      </c>
    </row>
    <row r="37" spans="1:19" x14ac:dyDescent="0.35">
      <c r="A37" t="s">
        <v>107</v>
      </c>
      <c r="B37" t="s">
        <v>179</v>
      </c>
      <c r="C37" t="s">
        <v>172</v>
      </c>
      <c r="D37" t="s">
        <v>178</v>
      </c>
      <c r="E37" t="s">
        <v>178</v>
      </c>
      <c r="F37" t="s">
        <v>111</v>
      </c>
      <c r="G37">
        <v>37263</v>
      </c>
      <c r="H37" t="s">
        <v>112</v>
      </c>
      <c r="I37" t="s">
        <v>113</v>
      </c>
      <c r="J37" t="s">
        <v>114</v>
      </c>
      <c r="K37" t="s">
        <v>115</v>
      </c>
      <c r="L37">
        <v>-1446</v>
      </c>
      <c r="M37">
        <v>0</v>
      </c>
      <c r="O37" t="s">
        <v>116</v>
      </c>
      <c r="P37">
        <v>0</v>
      </c>
      <c r="Q37" t="s">
        <v>117</v>
      </c>
      <c r="R37" t="s">
        <v>118</v>
      </c>
      <c r="S37" t="str">
        <f>IFERROR(VLOOKUP(TRIM(J37),'VAT Validation'!A:B,2,FALSE),"")</f>
        <v>VALID</v>
      </c>
    </row>
    <row r="38" spans="1:19" x14ac:dyDescent="0.35">
      <c r="A38" t="s">
        <v>107</v>
      </c>
      <c r="B38" t="s">
        <v>180</v>
      </c>
      <c r="C38" t="s">
        <v>172</v>
      </c>
      <c r="D38" t="s">
        <v>178</v>
      </c>
      <c r="E38" t="s">
        <v>178</v>
      </c>
      <c r="F38" t="s">
        <v>111</v>
      </c>
      <c r="G38">
        <v>37263</v>
      </c>
      <c r="H38" t="s">
        <v>112</v>
      </c>
      <c r="I38" t="s">
        <v>113</v>
      </c>
      <c r="J38" t="s">
        <v>114</v>
      </c>
      <c r="K38" t="s">
        <v>115</v>
      </c>
      <c r="L38">
        <v>-13375.5</v>
      </c>
      <c r="M38">
        <v>0</v>
      </c>
      <c r="O38" t="s">
        <v>116</v>
      </c>
      <c r="P38">
        <v>0</v>
      </c>
      <c r="Q38" t="s">
        <v>117</v>
      </c>
      <c r="R38" t="s">
        <v>118</v>
      </c>
      <c r="S38" t="str">
        <f>IFERROR(VLOOKUP(TRIM(J38),'VAT Validation'!A:B,2,FALSE),"")</f>
        <v>VALID</v>
      </c>
    </row>
    <row r="39" spans="1:19" x14ac:dyDescent="0.35">
      <c r="A39" t="s">
        <v>107</v>
      </c>
      <c r="B39" t="s">
        <v>181</v>
      </c>
      <c r="C39" t="s">
        <v>178</v>
      </c>
      <c r="D39" t="s">
        <v>178</v>
      </c>
      <c r="E39" t="s">
        <v>178</v>
      </c>
      <c r="F39" t="s">
        <v>111</v>
      </c>
      <c r="G39">
        <v>37263</v>
      </c>
      <c r="H39" t="s">
        <v>112</v>
      </c>
      <c r="I39" t="s">
        <v>113</v>
      </c>
      <c r="J39" t="s">
        <v>114</v>
      </c>
      <c r="K39" t="s">
        <v>115</v>
      </c>
      <c r="L39">
        <v>-5797.98</v>
      </c>
      <c r="M39">
        <v>0</v>
      </c>
      <c r="O39" t="s">
        <v>116</v>
      </c>
      <c r="P39">
        <v>0</v>
      </c>
      <c r="Q39" t="s">
        <v>117</v>
      </c>
      <c r="R39" t="s">
        <v>118</v>
      </c>
      <c r="S39" t="str">
        <f>IFERROR(VLOOKUP(TRIM(J39),'VAT Validation'!A:B,2,FALSE),"")</f>
        <v>VALID</v>
      </c>
    </row>
    <row r="40" spans="1:19" x14ac:dyDescent="0.35">
      <c r="A40" t="s">
        <v>107</v>
      </c>
      <c r="B40" t="s">
        <v>182</v>
      </c>
      <c r="C40" t="s">
        <v>183</v>
      </c>
      <c r="D40" t="s">
        <v>183</v>
      </c>
      <c r="E40" t="s">
        <v>183</v>
      </c>
      <c r="F40" t="s">
        <v>111</v>
      </c>
      <c r="G40">
        <v>37263</v>
      </c>
      <c r="H40" t="s">
        <v>112</v>
      </c>
      <c r="I40" t="s">
        <v>113</v>
      </c>
      <c r="J40" t="s">
        <v>114</v>
      </c>
      <c r="K40" t="s">
        <v>115</v>
      </c>
      <c r="L40">
        <v>-1446</v>
      </c>
      <c r="M40">
        <v>0</v>
      </c>
      <c r="O40" t="s">
        <v>116</v>
      </c>
      <c r="P40">
        <v>0</v>
      </c>
      <c r="Q40" t="s">
        <v>117</v>
      </c>
      <c r="R40" t="s">
        <v>118</v>
      </c>
      <c r="S40" t="str">
        <f>IFERROR(VLOOKUP(TRIM(J40),'VAT Validation'!A:B,2,FALSE),"")</f>
        <v>VALID</v>
      </c>
    </row>
    <row r="41" spans="1:19" x14ac:dyDescent="0.35">
      <c r="A41" t="s">
        <v>107</v>
      </c>
      <c r="B41" t="s">
        <v>184</v>
      </c>
      <c r="C41" t="s">
        <v>183</v>
      </c>
      <c r="D41" t="s">
        <v>183</v>
      </c>
      <c r="E41" t="s">
        <v>178</v>
      </c>
      <c r="F41" t="s">
        <v>111</v>
      </c>
      <c r="G41">
        <v>37263</v>
      </c>
      <c r="H41" t="s">
        <v>112</v>
      </c>
      <c r="I41" t="s">
        <v>113</v>
      </c>
      <c r="J41" t="s">
        <v>114</v>
      </c>
      <c r="K41" t="s">
        <v>115</v>
      </c>
      <c r="L41">
        <v>-3990.48</v>
      </c>
      <c r="M41">
        <v>0</v>
      </c>
      <c r="O41" t="s">
        <v>116</v>
      </c>
      <c r="P41">
        <v>0</v>
      </c>
      <c r="Q41" t="s">
        <v>117</v>
      </c>
      <c r="R41" t="s">
        <v>118</v>
      </c>
      <c r="S41" t="str">
        <f>IFERROR(VLOOKUP(TRIM(J41),'VAT Validation'!A:B,2,FALSE),"")</f>
        <v>VALID</v>
      </c>
    </row>
    <row r="42" spans="1:19" x14ac:dyDescent="0.35">
      <c r="A42" t="s">
        <v>107</v>
      </c>
      <c r="B42" t="s">
        <v>185</v>
      </c>
      <c r="C42" t="s">
        <v>183</v>
      </c>
      <c r="D42" t="s">
        <v>183</v>
      </c>
      <c r="E42" t="s">
        <v>186</v>
      </c>
      <c r="F42" t="s">
        <v>111</v>
      </c>
      <c r="G42">
        <v>37263</v>
      </c>
      <c r="H42" t="s">
        <v>112</v>
      </c>
      <c r="I42" t="s">
        <v>113</v>
      </c>
      <c r="J42" t="s">
        <v>114</v>
      </c>
      <c r="K42" t="s">
        <v>115</v>
      </c>
      <c r="L42">
        <v>-21356.46</v>
      </c>
      <c r="M42">
        <v>0</v>
      </c>
      <c r="O42" t="s">
        <v>116</v>
      </c>
      <c r="P42">
        <v>0</v>
      </c>
      <c r="Q42" t="s">
        <v>117</v>
      </c>
      <c r="R42" t="s">
        <v>118</v>
      </c>
      <c r="S42" t="str">
        <f>IFERROR(VLOOKUP(TRIM(J42),'VAT Validation'!A:B,2,FALSE),"")</f>
        <v>VALID</v>
      </c>
    </row>
    <row r="43" spans="1:19" x14ac:dyDescent="0.35">
      <c r="A43" t="s">
        <v>107</v>
      </c>
      <c r="B43" t="s">
        <v>187</v>
      </c>
      <c r="C43" t="s">
        <v>188</v>
      </c>
      <c r="D43" t="s">
        <v>188</v>
      </c>
      <c r="E43" t="s">
        <v>188</v>
      </c>
      <c r="F43" t="s">
        <v>111</v>
      </c>
      <c r="G43">
        <v>37263</v>
      </c>
      <c r="H43" t="s">
        <v>112</v>
      </c>
      <c r="I43" t="s">
        <v>113</v>
      </c>
      <c r="J43" t="s">
        <v>114</v>
      </c>
      <c r="K43" t="s">
        <v>115</v>
      </c>
      <c r="L43">
        <v>-13375.5</v>
      </c>
      <c r="M43">
        <v>0</v>
      </c>
      <c r="O43" t="s">
        <v>116</v>
      </c>
      <c r="P43">
        <v>0</v>
      </c>
      <c r="Q43" t="s">
        <v>117</v>
      </c>
      <c r="R43" t="s">
        <v>118</v>
      </c>
      <c r="S43" t="str">
        <f>IFERROR(VLOOKUP(TRIM(J43),'VAT Validation'!A:B,2,FALSE),"")</f>
        <v>VALID</v>
      </c>
    </row>
    <row r="44" spans="1:19" x14ac:dyDescent="0.35">
      <c r="A44" t="s">
        <v>107</v>
      </c>
      <c r="B44" t="s">
        <v>189</v>
      </c>
      <c r="C44" t="s">
        <v>188</v>
      </c>
      <c r="D44" t="s">
        <v>188</v>
      </c>
      <c r="E44" t="s">
        <v>183</v>
      </c>
      <c r="F44" t="s">
        <v>111</v>
      </c>
      <c r="G44">
        <v>37263</v>
      </c>
      <c r="H44" t="s">
        <v>112</v>
      </c>
      <c r="I44" t="s">
        <v>113</v>
      </c>
      <c r="J44" t="s">
        <v>114</v>
      </c>
      <c r="K44" t="s">
        <v>115</v>
      </c>
      <c r="L44">
        <v>-7980.96</v>
      </c>
      <c r="M44">
        <v>0</v>
      </c>
      <c r="O44" t="s">
        <v>116</v>
      </c>
      <c r="P44">
        <v>0</v>
      </c>
      <c r="Q44" t="s">
        <v>117</v>
      </c>
      <c r="R44" t="s">
        <v>118</v>
      </c>
      <c r="S44" t="str">
        <f>IFERROR(VLOOKUP(TRIM(J44),'VAT Validation'!A:B,2,FALSE),"")</f>
        <v>VALID</v>
      </c>
    </row>
    <row r="45" spans="1:19" x14ac:dyDescent="0.35">
      <c r="A45" t="s">
        <v>107</v>
      </c>
      <c r="B45" t="s">
        <v>190</v>
      </c>
      <c r="C45" t="s">
        <v>188</v>
      </c>
      <c r="D45" t="s">
        <v>188</v>
      </c>
      <c r="E45" t="s">
        <v>191</v>
      </c>
      <c r="F45" t="s">
        <v>111</v>
      </c>
      <c r="G45">
        <v>37263</v>
      </c>
      <c r="H45" t="s">
        <v>112</v>
      </c>
      <c r="I45" t="s">
        <v>113</v>
      </c>
      <c r="J45" t="s">
        <v>114</v>
      </c>
      <c r="K45" t="s">
        <v>115</v>
      </c>
      <c r="L45">
        <v>-3990.48</v>
      </c>
      <c r="M45">
        <v>0</v>
      </c>
      <c r="O45" t="s">
        <v>116</v>
      </c>
      <c r="P45">
        <v>0</v>
      </c>
      <c r="Q45" t="s">
        <v>117</v>
      </c>
      <c r="R45" t="s">
        <v>118</v>
      </c>
      <c r="S45" t="str">
        <f>IFERROR(VLOOKUP(TRIM(J45),'VAT Validation'!A:B,2,FALSE),"")</f>
        <v>VALID</v>
      </c>
    </row>
    <row r="46" spans="1:19" x14ac:dyDescent="0.35">
      <c r="A46" t="s">
        <v>107</v>
      </c>
      <c r="B46" t="s">
        <v>192</v>
      </c>
      <c r="C46" t="s">
        <v>188</v>
      </c>
      <c r="D46" t="s">
        <v>188</v>
      </c>
      <c r="E46" t="s">
        <v>188</v>
      </c>
      <c r="F46" t="s">
        <v>111</v>
      </c>
      <c r="G46">
        <v>37263</v>
      </c>
      <c r="H46" t="s">
        <v>112</v>
      </c>
      <c r="I46" t="s">
        <v>113</v>
      </c>
      <c r="J46" t="s">
        <v>114</v>
      </c>
      <c r="K46" t="s">
        <v>115</v>
      </c>
      <c r="L46">
        <v>-15348</v>
      </c>
      <c r="M46">
        <v>0</v>
      </c>
      <c r="O46" t="s">
        <v>116</v>
      </c>
      <c r="P46">
        <v>0</v>
      </c>
      <c r="Q46" t="s">
        <v>117</v>
      </c>
      <c r="R46" t="s">
        <v>118</v>
      </c>
      <c r="S46" t="str">
        <f>IFERROR(VLOOKUP(TRIM(J46),'VAT Validation'!A:B,2,FALSE),"")</f>
        <v>VALID</v>
      </c>
    </row>
    <row r="47" spans="1:19" x14ac:dyDescent="0.35">
      <c r="A47" t="s">
        <v>107</v>
      </c>
      <c r="B47" t="s">
        <v>193</v>
      </c>
      <c r="C47" t="s">
        <v>188</v>
      </c>
      <c r="D47" t="s">
        <v>188</v>
      </c>
      <c r="E47" t="s">
        <v>191</v>
      </c>
      <c r="F47" t="s">
        <v>111</v>
      </c>
      <c r="G47">
        <v>37263</v>
      </c>
      <c r="H47" t="s">
        <v>112</v>
      </c>
      <c r="I47" t="s">
        <v>113</v>
      </c>
      <c r="J47" t="s">
        <v>114</v>
      </c>
      <c r="K47" t="s">
        <v>115</v>
      </c>
      <c r="L47">
        <v>-5436.48</v>
      </c>
      <c r="M47">
        <v>0</v>
      </c>
      <c r="O47" t="s">
        <v>116</v>
      </c>
      <c r="P47">
        <v>0</v>
      </c>
      <c r="Q47" t="s">
        <v>117</v>
      </c>
      <c r="R47" t="s">
        <v>118</v>
      </c>
      <c r="S47" t="str">
        <f>IFERROR(VLOOKUP(TRIM(J47),'VAT Validation'!A:B,2,FALSE),"")</f>
        <v>VALID</v>
      </c>
    </row>
    <row r="48" spans="1:19" x14ac:dyDescent="0.35">
      <c r="A48" t="s">
        <v>107</v>
      </c>
      <c r="B48" t="s">
        <v>194</v>
      </c>
      <c r="C48" t="s">
        <v>195</v>
      </c>
      <c r="D48" t="s">
        <v>195</v>
      </c>
      <c r="E48" t="s">
        <v>195</v>
      </c>
      <c r="F48" t="s">
        <v>111</v>
      </c>
      <c r="G48">
        <v>37263</v>
      </c>
      <c r="H48" t="s">
        <v>112</v>
      </c>
      <c r="I48" t="s">
        <v>113</v>
      </c>
      <c r="J48" t="s">
        <v>114</v>
      </c>
      <c r="K48" t="s">
        <v>115</v>
      </c>
      <c r="L48">
        <v>-9181.39</v>
      </c>
      <c r="M48">
        <v>0</v>
      </c>
      <c r="O48" t="s">
        <v>116</v>
      </c>
      <c r="P48">
        <v>0</v>
      </c>
      <c r="Q48" t="s">
        <v>117</v>
      </c>
      <c r="R48" t="s">
        <v>118</v>
      </c>
      <c r="S48" t="str">
        <f>IFERROR(VLOOKUP(TRIM(J48),'VAT Validation'!A:B,2,FALSE),"")</f>
        <v>VALID</v>
      </c>
    </row>
    <row r="49" spans="1:19" x14ac:dyDescent="0.35">
      <c r="A49" t="s">
        <v>107</v>
      </c>
      <c r="B49" t="s">
        <v>196</v>
      </c>
      <c r="C49" t="s">
        <v>197</v>
      </c>
      <c r="D49" t="s">
        <v>197</v>
      </c>
      <c r="E49" t="s">
        <v>197</v>
      </c>
      <c r="F49" t="s">
        <v>111</v>
      </c>
      <c r="G49">
        <v>37263</v>
      </c>
      <c r="H49" t="s">
        <v>112</v>
      </c>
      <c r="I49" t="s">
        <v>113</v>
      </c>
      <c r="J49" t="s">
        <v>114</v>
      </c>
      <c r="K49" t="s">
        <v>115</v>
      </c>
      <c r="L49">
        <v>-13737</v>
      </c>
      <c r="M49">
        <v>0</v>
      </c>
      <c r="O49" t="s">
        <v>116</v>
      </c>
      <c r="P49">
        <v>0</v>
      </c>
      <c r="Q49" t="s">
        <v>117</v>
      </c>
      <c r="R49" t="s">
        <v>118</v>
      </c>
      <c r="S49" t="str">
        <f>IFERROR(VLOOKUP(TRIM(J49),'VAT Validation'!A:B,2,FALSE),"")</f>
        <v>VALID</v>
      </c>
    </row>
    <row r="50" spans="1:19" x14ac:dyDescent="0.35">
      <c r="A50" t="s">
        <v>107</v>
      </c>
      <c r="B50" t="s">
        <v>198</v>
      </c>
      <c r="C50" t="s">
        <v>199</v>
      </c>
      <c r="D50" t="s">
        <v>199</v>
      </c>
      <c r="E50" t="s">
        <v>199</v>
      </c>
      <c r="F50" t="s">
        <v>111</v>
      </c>
      <c r="G50">
        <v>37263</v>
      </c>
      <c r="H50" t="s">
        <v>112</v>
      </c>
      <c r="I50" t="s">
        <v>113</v>
      </c>
      <c r="J50" t="s">
        <v>114</v>
      </c>
      <c r="K50" t="s">
        <v>115</v>
      </c>
      <c r="L50">
        <v>-2169</v>
      </c>
      <c r="M50">
        <v>0</v>
      </c>
      <c r="O50" t="s">
        <v>116</v>
      </c>
      <c r="P50">
        <v>0</v>
      </c>
      <c r="Q50" t="s">
        <v>117</v>
      </c>
      <c r="R50" t="s">
        <v>118</v>
      </c>
      <c r="S50" t="str">
        <f>IFERROR(VLOOKUP(TRIM(J50),'VAT Validation'!A:B,2,FALSE),"")</f>
        <v>VALID</v>
      </c>
    </row>
    <row r="51" spans="1:19" x14ac:dyDescent="0.35">
      <c r="A51" t="s">
        <v>107</v>
      </c>
      <c r="B51" t="s">
        <v>200</v>
      </c>
      <c r="C51" t="s">
        <v>201</v>
      </c>
      <c r="D51" t="s">
        <v>201</v>
      </c>
      <c r="E51" t="s">
        <v>201</v>
      </c>
      <c r="F51" t="s">
        <v>111</v>
      </c>
      <c r="G51">
        <v>37263</v>
      </c>
      <c r="H51" t="s">
        <v>112</v>
      </c>
      <c r="I51" t="s">
        <v>113</v>
      </c>
      <c r="J51" t="s">
        <v>114</v>
      </c>
      <c r="K51" t="s">
        <v>115</v>
      </c>
      <c r="L51">
        <v>-12652.5</v>
      </c>
      <c r="M51">
        <v>0</v>
      </c>
      <c r="O51" t="s">
        <v>116</v>
      </c>
      <c r="P51">
        <v>0</v>
      </c>
      <c r="Q51" t="s">
        <v>117</v>
      </c>
      <c r="R51" t="s">
        <v>118</v>
      </c>
      <c r="S51" t="str">
        <f>IFERROR(VLOOKUP(TRIM(J51),'VAT Validation'!A:B,2,FALSE),"")</f>
        <v>VALID</v>
      </c>
    </row>
    <row r="52" spans="1:19" x14ac:dyDescent="0.35">
      <c r="A52" t="s">
        <v>107</v>
      </c>
      <c r="B52" t="s">
        <v>202</v>
      </c>
      <c r="C52" t="s">
        <v>201</v>
      </c>
      <c r="D52" t="s">
        <v>201</v>
      </c>
      <c r="E52" t="s">
        <v>197</v>
      </c>
      <c r="F52" t="s">
        <v>111</v>
      </c>
      <c r="G52">
        <v>37263</v>
      </c>
      <c r="H52" t="s">
        <v>112</v>
      </c>
      <c r="I52" t="s">
        <v>113</v>
      </c>
      <c r="J52" t="s">
        <v>114</v>
      </c>
      <c r="K52" t="s">
        <v>115</v>
      </c>
      <c r="L52">
        <v>-11971.44</v>
      </c>
      <c r="M52">
        <v>0</v>
      </c>
      <c r="O52" t="s">
        <v>116</v>
      </c>
      <c r="P52">
        <v>0</v>
      </c>
      <c r="Q52" t="s">
        <v>117</v>
      </c>
      <c r="R52" t="s">
        <v>118</v>
      </c>
      <c r="S52" t="str">
        <f>IFERROR(VLOOKUP(TRIM(J52),'VAT Validation'!A:B,2,FALSE),"")</f>
        <v>VALID</v>
      </c>
    </row>
    <row r="53" spans="1:19" x14ac:dyDescent="0.35">
      <c r="A53" t="s">
        <v>107</v>
      </c>
      <c r="B53" t="s">
        <v>203</v>
      </c>
      <c r="C53" t="s">
        <v>204</v>
      </c>
      <c r="D53" t="s">
        <v>204</v>
      </c>
      <c r="E53" t="s">
        <v>204</v>
      </c>
      <c r="F53" t="s">
        <v>111</v>
      </c>
      <c r="G53">
        <v>37263</v>
      </c>
      <c r="H53" t="s">
        <v>112</v>
      </c>
      <c r="I53" t="s">
        <v>113</v>
      </c>
      <c r="J53" t="s">
        <v>114</v>
      </c>
      <c r="K53" t="s">
        <v>115</v>
      </c>
      <c r="L53">
        <v>-1446</v>
      </c>
      <c r="M53">
        <v>0</v>
      </c>
      <c r="O53" t="s">
        <v>116</v>
      </c>
      <c r="P53">
        <v>0</v>
      </c>
      <c r="Q53" t="s">
        <v>117</v>
      </c>
      <c r="R53" t="s">
        <v>118</v>
      </c>
      <c r="S53" t="str">
        <f>IFERROR(VLOOKUP(TRIM(J53),'VAT Validation'!A:B,2,FALSE),"")</f>
        <v>VALID</v>
      </c>
    </row>
    <row r="54" spans="1:19" x14ac:dyDescent="0.35">
      <c r="A54" t="s">
        <v>107</v>
      </c>
      <c r="B54" t="s">
        <v>205</v>
      </c>
      <c r="C54" t="s">
        <v>204</v>
      </c>
      <c r="D54" t="s">
        <v>204</v>
      </c>
      <c r="E54" t="s">
        <v>206</v>
      </c>
      <c r="F54" t="s">
        <v>111</v>
      </c>
      <c r="G54">
        <v>37263</v>
      </c>
      <c r="H54" t="s">
        <v>112</v>
      </c>
      <c r="I54" t="s">
        <v>113</v>
      </c>
      <c r="J54" t="s">
        <v>114</v>
      </c>
      <c r="K54" t="s">
        <v>115</v>
      </c>
      <c r="L54">
        <v>-6159.48</v>
      </c>
      <c r="M54">
        <v>0</v>
      </c>
      <c r="O54" t="s">
        <v>116</v>
      </c>
      <c r="P54">
        <v>0</v>
      </c>
      <c r="Q54" t="s">
        <v>117</v>
      </c>
      <c r="R54" t="s">
        <v>118</v>
      </c>
      <c r="S54" t="str">
        <f>IFERROR(VLOOKUP(TRIM(J54),'VAT Validation'!A:B,2,FALSE),"")</f>
        <v>VALID</v>
      </c>
    </row>
    <row r="55" spans="1:19" x14ac:dyDescent="0.35">
      <c r="A55" t="s">
        <v>107</v>
      </c>
      <c r="B55" t="s">
        <v>207</v>
      </c>
      <c r="C55" t="s">
        <v>208</v>
      </c>
      <c r="D55" t="s">
        <v>208</v>
      </c>
      <c r="E55" t="s">
        <v>208</v>
      </c>
      <c r="F55" t="s">
        <v>111</v>
      </c>
      <c r="G55">
        <v>37263</v>
      </c>
      <c r="H55" t="s">
        <v>112</v>
      </c>
      <c r="I55" t="s">
        <v>113</v>
      </c>
      <c r="J55" t="s">
        <v>114</v>
      </c>
      <c r="K55" t="s">
        <v>115</v>
      </c>
      <c r="L55">
        <v>-13014</v>
      </c>
      <c r="M55">
        <v>0</v>
      </c>
      <c r="O55" t="s">
        <v>116</v>
      </c>
      <c r="P55">
        <v>0</v>
      </c>
      <c r="Q55" t="s">
        <v>117</v>
      </c>
      <c r="R55" t="s">
        <v>118</v>
      </c>
      <c r="S55" t="str">
        <f>IFERROR(VLOOKUP(TRIM(J55),'VAT Validation'!A:B,2,FALSE),"")</f>
        <v>VALID</v>
      </c>
    </row>
    <row r="56" spans="1:19" x14ac:dyDescent="0.35">
      <c r="A56" t="s">
        <v>107</v>
      </c>
      <c r="B56" t="s">
        <v>209</v>
      </c>
      <c r="C56" t="s">
        <v>210</v>
      </c>
      <c r="D56" t="s">
        <v>210</v>
      </c>
      <c r="E56" t="s">
        <v>210</v>
      </c>
      <c r="F56" t="s">
        <v>111</v>
      </c>
      <c r="G56">
        <v>37263</v>
      </c>
      <c r="H56" t="s">
        <v>112</v>
      </c>
      <c r="I56" t="s">
        <v>113</v>
      </c>
      <c r="J56" t="s">
        <v>114</v>
      </c>
      <c r="K56" t="s">
        <v>115</v>
      </c>
      <c r="L56">
        <v>-1084.5</v>
      </c>
      <c r="M56">
        <v>0</v>
      </c>
      <c r="O56" t="s">
        <v>116</v>
      </c>
      <c r="P56">
        <v>0</v>
      </c>
      <c r="Q56" t="s">
        <v>117</v>
      </c>
      <c r="R56" t="s">
        <v>118</v>
      </c>
      <c r="S56" t="str">
        <f>IFERROR(VLOOKUP(TRIM(J56),'VAT Validation'!A:B,2,FALSE),"")</f>
        <v>VALID</v>
      </c>
    </row>
    <row r="57" spans="1:19" x14ac:dyDescent="0.35">
      <c r="A57" t="s">
        <v>128</v>
      </c>
      <c r="B57" t="s">
        <v>211</v>
      </c>
      <c r="C57" s="16" t="s">
        <v>212</v>
      </c>
      <c r="D57" t="s">
        <v>195</v>
      </c>
      <c r="G57">
        <v>70590</v>
      </c>
      <c r="H57" t="s">
        <v>213</v>
      </c>
      <c r="I57" t="s">
        <v>113</v>
      </c>
      <c r="J57" t="s">
        <v>214</v>
      </c>
      <c r="K57" t="s">
        <v>144</v>
      </c>
      <c r="L57">
        <v>843.6</v>
      </c>
      <c r="M57">
        <v>177.16</v>
      </c>
      <c r="N57">
        <v>0</v>
      </c>
      <c r="O57" t="s">
        <v>116</v>
      </c>
      <c r="P57">
        <v>21</v>
      </c>
      <c r="Q57" t="s">
        <v>145</v>
      </c>
      <c r="R57" s="17" t="s">
        <v>215</v>
      </c>
      <c r="S57" t="str">
        <f>IFERROR(VLOOKUP(TRIM(J57),'VAT Validation'!A:B,2,FALSE),"")</f>
        <v>VALID</v>
      </c>
    </row>
    <row r="58" spans="1:19" x14ac:dyDescent="0.35">
      <c r="A58" t="s">
        <v>107</v>
      </c>
      <c r="B58" t="s">
        <v>216</v>
      </c>
      <c r="C58" t="s">
        <v>217</v>
      </c>
      <c r="D58" t="s">
        <v>217</v>
      </c>
      <c r="E58" t="s">
        <v>218</v>
      </c>
      <c r="F58" t="s">
        <v>219</v>
      </c>
      <c r="G58">
        <v>37263</v>
      </c>
      <c r="H58" t="s">
        <v>112</v>
      </c>
      <c r="I58" t="s">
        <v>113</v>
      </c>
      <c r="J58" t="s">
        <v>114</v>
      </c>
      <c r="K58" t="s">
        <v>115</v>
      </c>
      <c r="L58">
        <v>-1446</v>
      </c>
      <c r="M58">
        <v>0</v>
      </c>
      <c r="O58" t="s">
        <v>116</v>
      </c>
      <c r="P58">
        <v>0</v>
      </c>
      <c r="Q58" t="s">
        <v>117</v>
      </c>
      <c r="R58" t="s">
        <v>118</v>
      </c>
      <c r="S58" t="str">
        <f>IFERROR(VLOOKUP(TRIM(J58),'VAT Validation'!A:B,2,FALSE),"")</f>
        <v>VALID</v>
      </c>
    </row>
    <row r="59" spans="1:19" x14ac:dyDescent="0.35">
      <c r="A59" t="s">
        <v>107</v>
      </c>
      <c r="B59" t="s">
        <v>220</v>
      </c>
      <c r="C59" t="s">
        <v>217</v>
      </c>
      <c r="D59" t="s">
        <v>217</v>
      </c>
      <c r="E59" t="s">
        <v>218</v>
      </c>
      <c r="F59" t="s">
        <v>219</v>
      </c>
      <c r="G59">
        <v>37263</v>
      </c>
      <c r="H59" t="s">
        <v>112</v>
      </c>
      <c r="I59" t="s">
        <v>113</v>
      </c>
      <c r="J59" t="s">
        <v>114</v>
      </c>
      <c r="K59" t="s">
        <v>115</v>
      </c>
      <c r="L59">
        <v>-3806.3</v>
      </c>
      <c r="M59">
        <v>0</v>
      </c>
      <c r="O59" t="s">
        <v>116</v>
      </c>
      <c r="P59">
        <v>0</v>
      </c>
      <c r="Q59" t="s">
        <v>117</v>
      </c>
      <c r="R59" t="s">
        <v>118</v>
      </c>
      <c r="S59" t="str">
        <f>IFERROR(VLOOKUP(TRIM(J59),'VAT Validation'!A:B,2,FALSE),"")</f>
        <v>VALID</v>
      </c>
    </row>
    <row r="60" spans="1:19" x14ac:dyDescent="0.35">
      <c r="A60" t="s">
        <v>107</v>
      </c>
      <c r="B60" t="s">
        <v>221</v>
      </c>
      <c r="C60" t="s">
        <v>222</v>
      </c>
      <c r="D60" t="s">
        <v>222</v>
      </c>
      <c r="E60" t="s">
        <v>218</v>
      </c>
      <c r="F60" t="s">
        <v>219</v>
      </c>
      <c r="G60">
        <v>37263</v>
      </c>
      <c r="H60" t="s">
        <v>112</v>
      </c>
      <c r="I60" t="s">
        <v>113</v>
      </c>
      <c r="J60" t="s">
        <v>114</v>
      </c>
      <c r="K60" t="s">
        <v>115</v>
      </c>
      <c r="L60">
        <v>-361.5</v>
      </c>
      <c r="M60">
        <v>0</v>
      </c>
      <c r="O60" t="s">
        <v>116</v>
      </c>
      <c r="P60">
        <v>0</v>
      </c>
      <c r="Q60" t="s">
        <v>117</v>
      </c>
      <c r="R60" t="s">
        <v>118</v>
      </c>
      <c r="S60" t="str">
        <f>IFERROR(VLOOKUP(TRIM(J60),'VAT Validation'!A:B,2,FALSE),"")</f>
        <v>VALID</v>
      </c>
    </row>
    <row r="61" spans="1:19" x14ac:dyDescent="0.35">
      <c r="A61" t="s">
        <v>107</v>
      </c>
      <c r="B61" t="s">
        <v>223</v>
      </c>
      <c r="C61" t="s">
        <v>224</v>
      </c>
      <c r="D61" t="s">
        <v>224</v>
      </c>
      <c r="E61" t="s">
        <v>218</v>
      </c>
      <c r="F61" t="s">
        <v>219</v>
      </c>
      <c r="G61">
        <v>37263</v>
      </c>
      <c r="H61" t="s">
        <v>112</v>
      </c>
      <c r="I61" t="s">
        <v>113</v>
      </c>
      <c r="J61" t="s">
        <v>114</v>
      </c>
      <c r="K61" t="s">
        <v>115</v>
      </c>
      <c r="L61">
        <v>-1084.5</v>
      </c>
      <c r="M61">
        <v>0</v>
      </c>
      <c r="O61" t="s">
        <v>116</v>
      </c>
      <c r="P61">
        <v>0</v>
      </c>
      <c r="Q61" t="s">
        <v>117</v>
      </c>
      <c r="R61" t="s">
        <v>118</v>
      </c>
      <c r="S61" t="str">
        <f>IFERROR(VLOOKUP(TRIM(J61),'VAT Validation'!A:B,2,FALSE),"")</f>
        <v>VALID</v>
      </c>
    </row>
    <row r="62" spans="1:19" x14ac:dyDescent="0.35">
      <c r="A62" t="s">
        <v>107</v>
      </c>
      <c r="B62" t="s">
        <v>225</v>
      </c>
      <c r="C62" t="s">
        <v>226</v>
      </c>
      <c r="D62" t="s">
        <v>226</v>
      </c>
      <c r="E62" t="s">
        <v>218</v>
      </c>
      <c r="F62" t="s">
        <v>219</v>
      </c>
      <c r="G62">
        <v>37263</v>
      </c>
      <c r="H62" t="s">
        <v>112</v>
      </c>
      <c r="I62" t="s">
        <v>113</v>
      </c>
      <c r="J62" t="s">
        <v>114</v>
      </c>
      <c r="K62" t="s">
        <v>115</v>
      </c>
      <c r="L62">
        <v>-7980.96</v>
      </c>
      <c r="M62">
        <v>0</v>
      </c>
      <c r="O62" t="s">
        <v>116</v>
      </c>
      <c r="P62">
        <v>0</v>
      </c>
      <c r="Q62" t="s">
        <v>117</v>
      </c>
      <c r="R62" t="s">
        <v>118</v>
      </c>
      <c r="S62" t="str">
        <f>IFERROR(VLOOKUP(TRIM(J62),'VAT Validation'!A:B,2,FALSE),"")</f>
        <v>VALID</v>
      </c>
    </row>
    <row r="63" spans="1:19" x14ac:dyDescent="0.35">
      <c r="A63" t="s">
        <v>107</v>
      </c>
      <c r="B63" t="s">
        <v>227</v>
      </c>
      <c r="C63" t="s">
        <v>228</v>
      </c>
      <c r="D63" t="s">
        <v>228</v>
      </c>
      <c r="E63" t="s">
        <v>218</v>
      </c>
      <c r="F63" t="s">
        <v>219</v>
      </c>
      <c r="G63">
        <v>37263</v>
      </c>
      <c r="H63" t="s">
        <v>112</v>
      </c>
      <c r="I63" t="s">
        <v>113</v>
      </c>
      <c r="J63" t="s">
        <v>114</v>
      </c>
      <c r="K63" t="s">
        <v>115</v>
      </c>
      <c r="L63">
        <v>-361.5</v>
      </c>
      <c r="M63">
        <v>0</v>
      </c>
      <c r="O63" t="s">
        <v>116</v>
      </c>
      <c r="P63">
        <v>0</v>
      </c>
      <c r="Q63" t="s">
        <v>117</v>
      </c>
      <c r="R63" t="s">
        <v>118</v>
      </c>
      <c r="S63" t="str">
        <f>IFERROR(VLOOKUP(TRIM(J63),'VAT Validation'!A:B,2,FALSE),"")</f>
        <v>VALID</v>
      </c>
    </row>
    <row r="64" spans="1:19" x14ac:dyDescent="0.35">
      <c r="A64" t="s">
        <v>107</v>
      </c>
      <c r="B64" t="s">
        <v>229</v>
      </c>
      <c r="C64" t="s">
        <v>217</v>
      </c>
      <c r="D64" t="s">
        <v>217</v>
      </c>
      <c r="E64" t="s">
        <v>218</v>
      </c>
      <c r="F64" t="s">
        <v>219</v>
      </c>
      <c r="G64">
        <v>37263</v>
      </c>
      <c r="H64" t="s">
        <v>112</v>
      </c>
      <c r="I64" t="s">
        <v>113</v>
      </c>
      <c r="J64" t="s">
        <v>114</v>
      </c>
      <c r="K64" t="s">
        <v>115</v>
      </c>
      <c r="L64">
        <v>-7980.96</v>
      </c>
      <c r="M64">
        <v>0</v>
      </c>
      <c r="O64" t="s">
        <v>116</v>
      </c>
      <c r="P64">
        <v>0</v>
      </c>
      <c r="Q64" t="s">
        <v>117</v>
      </c>
      <c r="R64" t="s">
        <v>118</v>
      </c>
      <c r="S64" t="str">
        <f>IFERROR(VLOOKUP(TRIM(J64),'VAT Validation'!A:B,2,FALSE),"")</f>
        <v>VALID</v>
      </c>
    </row>
    <row r="65" spans="1:19" x14ac:dyDescent="0.35">
      <c r="A65" t="s">
        <v>107</v>
      </c>
      <c r="B65" t="s">
        <v>230</v>
      </c>
      <c r="C65" t="s">
        <v>231</v>
      </c>
      <c r="D65" t="s">
        <v>231</v>
      </c>
      <c r="E65" t="s">
        <v>218</v>
      </c>
      <c r="F65" t="s">
        <v>219</v>
      </c>
      <c r="G65">
        <v>37263</v>
      </c>
      <c r="H65" t="s">
        <v>112</v>
      </c>
      <c r="I65" t="s">
        <v>113</v>
      </c>
      <c r="J65" t="s">
        <v>114</v>
      </c>
      <c r="K65" t="s">
        <v>115</v>
      </c>
      <c r="L65">
        <v>-12652.5</v>
      </c>
      <c r="M65">
        <v>0</v>
      </c>
      <c r="O65" t="s">
        <v>116</v>
      </c>
      <c r="P65">
        <v>0</v>
      </c>
      <c r="Q65" t="s">
        <v>117</v>
      </c>
      <c r="R65" t="s">
        <v>118</v>
      </c>
      <c r="S65" t="str">
        <f>IFERROR(VLOOKUP(TRIM(J65),'VAT Validation'!A:B,2,FALSE),"")</f>
        <v>VALID</v>
      </c>
    </row>
    <row r="66" spans="1:19" x14ac:dyDescent="0.35">
      <c r="A66" t="s">
        <v>107</v>
      </c>
      <c r="B66" t="s">
        <v>232</v>
      </c>
      <c r="C66" t="s">
        <v>222</v>
      </c>
      <c r="D66" t="s">
        <v>222</v>
      </c>
      <c r="E66" t="s">
        <v>218</v>
      </c>
      <c r="F66" t="s">
        <v>219</v>
      </c>
      <c r="G66">
        <v>37263</v>
      </c>
      <c r="H66" t="s">
        <v>112</v>
      </c>
      <c r="I66" t="s">
        <v>113</v>
      </c>
      <c r="J66" t="s">
        <v>114</v>
      </c>
      <c r="K66" t="s">
        <v>115</v>
      </c>
      <c r="L66">
        <v>-13737</v>
      </c>
      <c r="M66">
        <v>0</v>
      </c>
      <c r="O66" t="s">
        <v>116</v>
      </c>
      <c r="P66">
        <v>0</v>
      </c>
      <c r="Q66" t="s">
        <v>117</v>
      </c>
      <c r="R66" t="s">
        <v>118</v>
      </c>
      <c r="S66" t="str">
        <f>IFERROR(VLOOKUP(TRIM(J66),'VAT Validation'!A:B,2,FALSE),"")</f>
        <v>VALID</v>
      </c>
    </row>
    <row r="67" spans="1:19" x14ac:dyDescent="0.35">
      <c r="A67" t="s">
        <v>107</v>
      </c>
      <c r="B67" t="s">
        <v>233</v>
      </c>
      <c r="C67" t="s">
        <v>226</v>
      </c>
      <c r="D67" t="s">
        <v>226</v>
      </c>
      <c r="E67" t="s">
        <v>218</v>
      </c>
      <c r="F67" t="s">
        <v>219</v>
      </c>
      <c r="G67">
        <v>37263</v>
      </c>
      <c r="H67" t="s">
        <v>112</v>
      </c>
      <c r="I67" t="s">
        <v>113</v>
      </c>
      <c r="J67" t="s">
        <v>114</v>
      </c>
      <c r="K67" t="s">
        <v>115</v>
      </c>
      <c r="L67">
        <v>-12291</v>
      </c>
      <c r="M67">
        <v>0</v>
      </c>
      <c r="O67" t="s">
        <v>116</v>
      </c>
      <c r="P67">
        <v>0</v>
      </c>
      <c r="Q67" t="s">
        <v>117</v>
      </c>
      <c r="R67" t="s">
        <v>118</v>
      </c>
      <c r="S67" t="str">
        <f>IFERROR(VLOOKUP(TRIM(J67),'VAT Validation'!A:B,2,FALSE),"")</f>
        <v>VALID</v>
      </c>
    </row>
    <row r="68" spans="1:19" x14ac:dyDescent="0.35">
      <c r="A68" t="s">
        <v>107</v>
      </c>
      <c r="B68" t="s">
        <v>234</v>
      </c>
      <c r="C68" t="s">
        <v>235</v>
      </c>
      <c r="D68" t="s">
        <v>235</v>
      </c>
      <c r="E68" t="s">
        <v>218</v>
      </c>
      <c r="F68" t="s">
        <v>219</v>
      </c>
      <c r="G68">
        <v>37263</v>
      </c>
      <c r="H68" t="s">
        <v>112</v>
      </c>
      <c r="I68" t="s">
        <v>113</v>
      </c>
      <c r="J68" t="s">
        <v>114</v>
      </c>
      <c r="K68" t="s">
        <v>115</v>
      </c>
      <c r="L68">
        <v>-723</v>
      </c>
      <c r="M68">
        <v>0</v>
      </c>
      <c r="O68" t="s">
        <v>116</v>
      </c>
      <c r="P68">
        <v>0</v>
      </c>
      <c r="Q68" t="s">
        <v>117</v>
      </c>
      <c r="R68" t="s">
        <v>118</v>
      </c>
      <c r="S68" t="str">
        <f>IFERROR(VLOOKUP(TRIM(J68),'VAT Validation'!A:B,2,FALSE),"")</f>
        <v>VALID</v>
      </c>
    </row>
    <row r="69" spans="1:19" x14ac:dyDescent="0.35">
      <c r="A69" t="s">
        <v>107</v>
      </c>
      <c r="B69" t="s">
        <v>236</v>
      </c>
      <c r="C69" t="s">
        <v>237</v>
      </c>
      <c r="D69" t="s">
        <v>237</v>
      </c>
      <c r="E69" t="s">
        <v>218</v>
      </c>
      <c r="F69" t="s">
        <v>219</v>
      </c>
      <c r="G69">
        <v>37263</v>
      </c>
      <c r="H69" t="s">
        <v>112</v>
      </c>
      <c r="I69" t="s">
        <v>113</v>
      </c>
      <c r="J69" t="s">
        <v>114</v>
      </c>
      <c r="K69" t="s">
        <v>115</v>
      </c>
      <c r="L69">
        <v>-1807.5</v>
      </c>
      <c r="M69">
        <v>0</v>
      </c>
      <c r="O69" t="s">
        <v>116</v>
      </c>
      <c r="P69">
        <v>0</v>
      </c>
      <c r="Q69" t="s">
        <v>117</v>
      </c>
      <c r="R69" t="s">
        <v>118</v>
      </c>
      <c r="S69" t="str">
        <f>IFERROR(VLOOKUP(TRIM(J69),'VAT Validation'!A:B,2,FALSE),"")</f>
        <v>VALID</v>
      </c>
    </row>
    <row r="70" spans="1:19" x14ac:dyDescent="0.35">
      <c r="A70" t="s">
        <v>107</v>
      </c>
      <c r="B70" t="s">
        <v>238</v>
      </c>
      <c r="C70" t="s">
        <v>239</v>
      </c>
      <c r="D70" t="s">
        <v>239</v>
      </c>
      <c r="E70" t="s">
        <v>218</v>
      </c>
      <c r="F70" t="s">
        <v>219</v>
      </c>
      <c r="G70">
        <v>37263</v>
      </c>
      <c r="H70" t="s">
        <v>112</v>
      </c>
      <c r="I70" t="s">
        <v>113</v>
      </c>
      <c r="J70" t="s">
        <v>114</v>
      </c>
      <c r="K70" t="s">
        <v>115</v>
      </c>
      <c r="L70">
        <v>-7980.96</v>
      </c>
      <c r="M70">
        <v>0</v>
      </c>
      <c r="O70" t="s">
        <v>116</v>
      </c>
      <c r="P70">
        <v>0</v>
      </c>
      <c r="Q70" t="s">
        <v>117</v>
      </c>
      <c r="R70" t="s">
        <v>118</v>
      </c>
      <c r="S70" t="str">
        <f>IFERROR(VLOOKUP(TRIM(J70),'VAT Validation'!A:B,2,FALSE),"")</f>
        <v>VALID</v>
      </c>
    </row>
    <row r="71" spans="1:19" x14ac:dyDescent="0.35">
      <c r="A71" t="s">
        <v>107</v>
      </c>
      <c r="B71" t="s">
        <v>240</v>
      </c>
      <c r="C71" t="s">
        <v>222</v>
      </c>
      <c r="D71" t="s">
        <v>222</v>
      </c>
      <c r="E71" t="s">
        <v>241</v>
      </c>
      <c r="F71" t="s">
        <v>242</v>
      </c>
      <c r="G71">
        <v>35184</v>
      </c>
      <c r="H71" t="s">
        <v>243</v>
      </c>
      <c r="I71" t="s">
        <v>113</v>
      </c>
      <c r="J71" t="s">
        <v>244</v>
      </c>
      <c r="K71" t="s">
        <v>144</v>
      </c>
      <c r="L71">
        <v>-3985.92</v>
      </c>
      <c r="M71">
        <v>-837.04</v>
      </c>
      <c r="N71">
        <v>-837.04</v>
      </c>
      <c r="O71" t="s">
        <v>116</v>
      </c>
      <c r="P71">
        <v>21</v>
      </c>
      <c r="Q71" t="s">
        <v>145</v>
      </c>
      <c r="R71" t="s">
        <v>136</v>
      </c>
      <c r="S71" t="str">
        <f>IFERROR(VLOOKUP(TRIM(J71),'VAT Validation'!A:B,2,FALSE),"")</f>
        <v>VALID</v>
      </c>
    </row>
    <row r="72" spans="1:19" x14ac:dyDescent="0.35">
      <c r="A72" t="s">
        <v>107</v>
      </c>
      <c r="B72" t="s">
        <v>245</v>
      </c>
      <c r="C72" t="s">
        <v>217</v>
      </c>
      <c r="D72" t="s">
        <v>217</v>
      </c>
      <c r="E72" t="s">
        <v>218</v>
      </c>
      <c r="F72" t="s">
        <v>219</v>
      </c>
      <c r="G72">
        <v>37263</v>
      </c>
      <c r="H72" t="s">
        <v>112</v>
      </c>
      <c r="I72" t="s">
        <v>113</v>
      </c>
      <c r="J72" t="s">
        <v>114</v>
      </c>
      <c r="K72" t="s">
        <v>115</v>
      </c>
      <c r="L72">
        <v>-7980.96</v>
      </c>
      <c r="M72">
        <v>0</v>
      </c>
      <c r="O72" t="s">
        <v>116</v>
      </c>
      <c r="P72">
        <v>0</v>
      </c>
      <c r="Q72" t="s">
        <v>117</v>
      </c>
      <c r="R72" t="s">
        <v>118</v>
      </c>
      <c r="S72" t="str">
        <f>IFERROR(VLOOKUP(TRIM(J72),'VAT Validation'!A:B,2,FALSE),"")</f>
        <v>VALID</v>
      </c>
    </row>
    <row r="73" spans="1:19" x14ac:dyDescent="0.35">
      <c r="A73" t="s">
        <v>107</v>
      </c>
      <c r="B73" t="s">
        <v>246</v>
      </c>
      <c r="C73" t="s">
        <v>247</v>
      </c>
      <c r="D73" t="s">
        <v>247</v>
      </c>
      <c r="E73" t="s">
        <v>218</v>
      </c>
      <c r="F73" t="s">
        <v>219</v>
      </c>
      <c r="G73">
        <v>37263</v>
      </c>
      <c r="H73" t="s">
        <v>112</v>
      </c>
      <c r="I73" t="s">
        <v>113</v>
      </c>
      <c r="J73" t="s">
        <v>114</v>
      </c>
      <c r="K73" t="s">
        <v>115</v>
      </c>
      <c r="L73">
        <v>-3929.09</v>
      </c>
      <c r="M73">
        <v>0</v>
      </c>
      <c r="O73" t="s">
        <v>116</v>
      </c>
      <c r="P73">
        <v>0</v>
      </c>
      <c r="Q73" t="s">
        <v>117</v>
      </c>
      <c r="R73" t="s">
        <v>118</v>
      </c>
      <c r="S73" t="str">
        <f>IFERROR(VLOOKUP(TRIM(J73),'VAT Validation'!A:B,2,FALSE),"")</f>
        <v>VALID</v>
      </c>
    </row>
    <row r="74" spans="1:19" x14ac:dyDescent="0.35">
      <c r="A74" t="s">
        <v>107</v>
      </c>
      <c r="B74" t="s">
        <v>248</v>
      </c>
      <c r="C74" t="s">
        <v>226</v>
      </c>
      <c r="D74" t="s">
        <v>226</v>
      </c>
      <c r="E74" t="s">
        <v>218</v>
      </c>
      <c r="F74" t="s">
        <v>219</v>
      </c>
      <c r="G74">
        <v>37263</v>
      </c>
      <c r="H74" t="s">
        <v>112</v>
      </c>
      <c r="I74" t="s">
        <v>113</v>
      </c>
      <c r="J74" t="s">
        <v>114</v>
      </c>
      <c r="K74" t="s">
        <v>115</v>
      </c>
      <c r="L74">
        <v>-7858.18</v>
      </c>
      <c r="M74">
        <v>0</v>
      </c>
      <c r="O74" t="s">
        <v>116</v>
      </c>
      <c r="P74">
        <v>0</v>
      </c>
      <c r="Q74" t="s">
        <v>117</v>
      </c>
      <c r="R74" t="s">
        <v>118</v>
      </c>
      <c r="S74" t="str">
        <f>IFERROR(VLOOKUP(TRIM(J74),'VAT Validation'!A:B,2,FALSE),"")</f>
        <v>VALID</v>
      </c>
    </row>
    <row r="75" spans="1:19" x14ac:dyDescent="0.35">
      <c r="A75" t="s">
        <v>107</v>
      </c>
      <c r="B75" t="s">
        <v>249</v>
      </c>
      <c r="C75" t="s">
        <v>250</v>
      </c>
      <c r="D75" t="s">
        <v>250</v>
      </c>
      <c r="G75">
        <v>11674</v>
      </c>
      <c r="H75" t="s">
        <v>143</v>
      </c>
      <c r="I75" t="s">
        <v>113</v>
      </c>
      <c r="J75" s="16"/>
      <c r="K75" t="s">
        <v>115</v>
      </c>
      <c r="L75">
        <v>-3710</v>
      </c>
      <c r="M75">
        <v>0</v>
      </c>
      <c r="O75" t="s">
        <v>116</v>
      </c>
      <c r="P75">
        <v>0</v>
      </c>
      <c r="Q75" t="s">
        <v>117</v>
      </c>
      <c r="R75" t="s">
        <v>118</v>
      </c>
      <c r="S75" t="str">
        <f>IFERROR(VLOOKUP(TRIM(J75),'VAT Validation'!A:B,2,FALSE),"")</f>
        <v/>
      </c>
    </row>
    <row r="76" spans="1:19" x14ac:dyDescent="0.35">
      <c r="A76" t="s">
        <v>107</v>
      </c>
      <c r="B76" t="s">
        <v>251</v>
      </c>
      <c r="C76" t="s">
        <v>239</v>
      </c>
      <c r="D76" t="s">
        <v>239</v>
      </c>
      <c r="E76" t="s">
        <v>218</v>
      </c>
      <c r="F76" t="s">
        <v>219</v>
      </c>
      <c r="G76">
        <v>37263</v>
      </c>
      <c r="H76" t="s">
        <v>112</v>
      </c>
      <c r="I76" t="s">
        <v>113</v>
      </c>
      <c r="J76" t="s">
        <v>114</v>
      </c>
      <c r="K76" t="s">
        <v>115</v>
      </c>
      <c r="L76">
        <v>-3990.48</v>
      </c>
      <c r="M76">
        <v>0</v>
      </c>
      <c r="O76" t="s">
        <v>116</v>
      </c>
      <c r="P76">
        <v>0</v>
      </c>
      <c r="Q76" t="s">
        <v>117</v>
      </c>
      <c r="R76" t="s">
        <v>118</v>
      </c>
      <c r="S76" t="str">
        <f>IFERROR(VLOOKUP(TRIM(J76),'VAT Validation'!A:B,2,FALSE),"")</f>
        <v>VALID</v>
      </c>
    </row>
    <row r="77" spans="1:19" x14ac:dyDescent="0.35">
      <c r="A77" t="s">
        <v>128</v>
      </c>
      <c r="B77" t="s">
        <v>252</v>
      </c>
      <c r="C77" t="s">
        <v>250</v>
      </c>
      <c r="D77" t="s">
        <v>250</v>
      </c>
      <c r="G77">
        <v>11674</v>
      </c>
      <c r="H77" t="s">
        <v>143</v>
      </c>
      <c r="I77" t="s">
        <v>113</v>
      </c>
      <c r="J77" s="16"/>
      <c r="K77" t="s">
        <v>144</v>
      </c>
      <c r="L77">
        <v>14421</v>
      </c>
      <c r="M77">
        <v>3028.41</v>
      </c>
      <c r="N77">
        <v>3028.41</v>
      </c>
      <c r="O77" t="s">
        <v>116</v>
      </c>
      <c r="P77">
        <v>21</v>
      </c>
      <c r="Q77" t="s">
        <v>145</v>
      </c>
      <c r="R77" t="s">
        <v>136</v>
      </c>
      <c r="S77" t="str">
        <f>IFERROR(VLOOKUP(TRIM(J77),'VAT Validation'!A:B,2,FALSE),"")</f>
        <v/>
      </c>
    </row>
    <row r="78" spans="1:19" x14ac:dyDescent="0.35">
      <c r="A78" t="s">
        <v>128</v>
      </c>
      <c r="B78" t="s">
        <v>253</v>
      </c>
      <c r="C78" t="s">
        <v>250</v>
      </c>
      <c r="D78" t="s">
        <v>250</v>
      </c>
      <c r="G78">
        <v>11674</v>
      </c>
      <c r="H78" t="s">
        <v>143</v>
      </c>
      <c r="I78" t="s">
        <v>113</v>
      </c>
      <c r="J78" s="16"/>
      <c r="K78" t="s">
        <v>144</v>
      </c>
      <c r="L78">
        <v>5194</v>
      </c>
      <c r="M78">
        <v>1090.74</v>
      </c>
      <c r="N78">
        <v>1090.74</v>
      </c>
      <c r="O78" t="s">
        <v>116</v>
      </c>
      <c r="P78">
        <v>21</v>
      </c>
      <c r="Q78" t="s">
        <v>145</v>
      </c>
      <c r="R78" t="s">
        <v>136</v>
      </c>
      <c r="S78" t="str">
        <f>IFERROR(VLOOKUP(TRIM(J78),'VAT Validation'!A:B,2,FALSE),"")</f>
        <v/>
      </c>
    </row>
    <row r="79" spans="1:19" x14ac:dyDescent="0.35">
      <c r="A79" t="s">
        <v>107</v>
      </c>
      <c r="B79" t="s">
        <v>254</v>
      </c>
      <c r="C79" t="s">
        <v>250</v>
      </c>
      <c r="D79" t="s">
        <v>250</v>
      </c>
      <c r="E79" t="s">
        <v>255</v>
      </c>
      <c r="F79" t="s">
        <v>242</v>
      </c>
      <c r="G79">
        <v>70272</v>
      </c>
      <c r="H79" t="s">
        <v>256</v>
      </c>
      <c r="I79" t="s">
        <v>113</v>
      </c>
      <c r="J79" t="s">
        <v>257</v>
      </c>
      <c r="K79" t="s">
        <v>144</v>
      </c>
      <c r="L79">
        <v>-5850</v>
      </c>
      <c r="M79">
        <v>-1228.5</v>
      </c>
      <c r="N79">
        <v>-1228.5</v>
      </c>
      <c r="O79" t="s">
        <v>116</v>
      </c>
      <c r="P79">
        <v>21</v>
      </c>
      <c r="Q79" t="s">
        <v>145</v>
      </c>
      <c r="R79" t="s">
        <v>136</v>
      </c>
      <c r="S79" t="str">
        <f>IFERROR(VLOOKUP(TRIM(J79),'VAT Validation'!A:B,2,FALSE),"")</f>
        <v>VALID</v>
      </c>
    </row>
    <row r="80" spans="1:19" x14ac:dyDescent="0.35">
      <c r="A80" t="s">
        <v>107</v>
      </c>
      <c r="B80" t="s">
        <v>258</v>
      </c>
      <c r="C80" t="s">
        <v>222</v>
      </c>
      <c r="D80" t="s">
        <v>222</v>
      </c>
      <c r="E80" t="s">
        <v>218</v>
      </c>
      <c r="F80" t="s">
        <v>219</v>
      </c>
      <c r="G80">
        <v>37263</v>
      </c>
      <c r="H80" t="s">
        <v>112</v>
      </c>
      <c r="I80" t="s">
        <v>113</v>
      </c>
      <c r="J80" t="s">
        <v>114</v>
      </c>
      <c r="K80" t="s">
        <v>115</v>
      </c>
      <c r="L80">
        <v>-361.5</v>
      </c>
      <c r="M80">
        <v>0</v>
      </c>
      <c r="O80" t="s">
        <v>116</v>
      </c>
      <c r="P80">
        <v>0</v>
      </c>
      <c r="Q80" t="s">
        <v>117</v>
      </c>
      <c r="R80" t="s">
        <v>118</v>
      </c>
      <c r="S80" t="str">
        <f>IFERROR(VLOOKUP(TRIM(J80),'VAT Validation'!A:B,2,FALSE),"")</f>
        <v>VALID</v>
      </c>
    </row>
    <row r="81" spans="1:19" x14ac:dyDescent="0.35">
      <c r="A81" t="s">
        <v>107</v>
      </c>
      <c r="B81" t="s">
        <v>259</v>
      </c>
      <c r="C81" t="s">
        <v>226</v>
      </c>
      <c r="D81" t="s">
        <v>226</v>
      </c>
      <c r="E81" t="s">
        <v>218</v>
      </c>
      <c r="F81" t="s">
        <v>219</v>
      </c>
      <c r="G81">
        <v>37263</v>
      </c>
      <c r="H81" t="s">
        <v>112</v>
      </c>
      <c r="I81" t="s">
        <v>113</v>
      </c>
      <c r="J81" t="s">
        <v>114</v>
      </c>
      <c r="K81" t="s">
        <v>115</v>
      </c>
      <c r="L81">
        <v>-3990.48</v>
      </c>
      <c r="M81">
        <v>0</v>
      </c>
      <c r="O81" t="s">
        <v>116</v>
      </c>
      <c r="P81">
        <v>0</v>
      </c>
      <c r="Q81" t="s">
        <v>117</v>
      </c>
      <c r="R81" t="s">
        <v>118</v>
      </c>
      <c r="S81" t="str">
        <f>IFERROR(VLOOKUP(TRIM(J81),'VAT Validation'!A:B,2,FALSE),"")</f>
        <v>VALID</v>
      </c>
    </row>
    <row r="82" spans="1:19" x14ac:dyDescent="0.35">
      <c r="A82" t="s">
        <v>107</v>
      </c>
      <c r="B82" t="s">
        <v>260</v>
      </c>
      <c r="C82" t="s">
        <v>261</v>
      </c>
      <c r="D82" t="s">
        <v>261</v>
      </c>
      <c r="E82" t="s">
        <v>218</v>
      </c>
      <c r="F82" t="s">
        <v>219</v>
      </c>
      <c r="G82">
        <v>37263</v>
      </c>
      <c r="H82" t="s">
        <v>112</v>
      </c>
      <c r="I82" t="s">
        <v>113</v>
      </c>
      <c r="J82" t="s">
        <v>114</v>
      </c>
      <c r="K82" t="s">
        <v>115</v>
      </c>
      <c r="L82">
        <v>-1446</v>
      </c>
      <c r="M82">
        <v>0</v>
      </c>
      <c r="O82" t="s">
        <v>116</v>
      </c>
      <c r="P82">
        <v>0</v>
      </c>
      <c r="Q82" t="s">
        <v>117</v>
      </c>
      <c r="R82" t="s">
        <v>118</v>
      </c>
      <c r="S82" t="str">
        <f>IFERROR(VLOOKUP(TRIM(J82),'VAT Validation'!A:B,2,FALSE),"")</f>
        <v>VALID</v>
      </c>
    </row>
    <row r="83" spans="1:19" x14ac:dyDescent="0.35">
      <c r="A83" t="s">
        <v>107</v>
      </c>
      <c r="B83" t="s">
        <v>262</v>
      </c>
      <c r="C83" t="s">
        <v>239</v>
      </c>
      <c r="D83" t="s">
        <v>239</v>
      </c>
      <c r="E83" t="s">
        <v>218</v>
      </c>
      <c r="F83" t="s">
        <v>219</v>
      </c>
      <c r="G83">
        <v>37263</v>
      </c>
      <c r="H83" t="s">
        <v>112</v>
      </c>
      <c r="I83" t="s">
        <v>113</v>
      </c>
      <c r="J83" t="s">
        <v>114</v>
      </c>
      <c r="K83" t="s">
        <v>115</v>
      </c>
      <c r="L83">
        <v>-7919.57</v>
      </c>
      <c r="M83">
        <v>0</v>
      </c>
      <c r="O83" t="s">
        <v>116</v>
      </c>
      <c r="P83">
        <v>0</v>
      </c>
      <c r="Q83" t="s">
        <v>117</v>
      </c>
      <c r="R83" t="s">
        <v>118</v>
      </c>
      <c r="S83" t="str">
        <f>IFERROR(VLOOKUP(TRIM(J83),'VAT Validation'!A:B,2,FALSE),"")</f>
        <v>VALID</v>
      </c>
    </row>
    <row r="84" spans="1:19" x14ac:dyDescent="0.35">
      <c r="A84" t="s">
        <v>128</v>
      </c>
      <c r="B84" t="s">
        <v>263</v>
      </c>
      <c r="C84" t="s">
        <v>250</v>
      </c>
      <c r="D84" t="s">
        <v>250</v>
      </c>
      <c r="G84">
        <v>11674</v>
      </c>
      <c r="H84" t="s">
        <v>143</v>
      </c>
      <c r="I84" t="s">
        <v>113</v>
      </c>
      <c r="J84" s="16"/>
      <c r="K84" t="s">
        <v>144</v>
      </c>
      <c r="L84">
        <v>3710</v>
      </c>
      <c r="M84">
        <v>779.1</v>
      </c>
      <c r="N84">
        <v>779.1</v>
      </c>
      <c r="O84" t="s">
        <v>116</v>
      </c>
      <c r="P84">
        <v>21</v>
      </c>
      <c r="Q84" t="s">
        <v>145</v>
      </c>
      <c r="R84" t="s">
        <v>136</v>
      </c>
      <c r="S84" t="str">
        <f>IFERROR(VLOOKUP(TRIM(J84),'VAT Validation'!A:B,2,FALSE),"")</f>
        <v/>
      </c>
    </row>
    <row r="85" spans="1:19" x14ac:dyDescent="0.35">
      <c r="A85" t="s">
        <v>107</v>
      </c>
      <c r="B85" t="s">
        <v>264</v>
      </c>
      <c r="C85" t="s">
        <v>217</v>
      </c>
      <c r="D85" t="s">
        <v>217</v>
      </c>
      <c r="E85" t="s">
        <v>218</v>
      </c>
      <c r="F85" t="s">
        <v>219</v>
      </c>
      <c r="G85">
        <v>37263</v>
      </c>
      <c r="H85" t="s">
        <v>112</v>
      </c>
      <c r="I85" t="s">
        <v>113</v>
      </c>
      <c r="J85" t="s">
        <v>114</v>
      </c>
      <c r="K85" t="s">
        <v>115</v>
      </c>
      <c r="L85">
        <v>-7980.96</v>
      </c>
      <c r="M85">
        <v>0</v>
      </c>
      <c r="O85" t="s">
        <v>116</v>
      </c>
      <c r="P85">
        <v>0</v>
      </c>
      <c r="Q85" t="s">
        <v>117</v>
      </c>
      <c r="R85" t="s">
        <v>118</v>
      </c>
      <c r="S85" t="str">
        <f>IFERROR(VLOOKUP(TRIM(J85),'VAT Validation'!A:B,2,FALSE),"")</f>
        <v>VALID</v>
      </c>
    </row>
    <row r="86" spans="1:19" x14ac:dyDescent="0.35">
      <c r="A86" t="s">
        <v>107</v>
      </c>
      <c r="B86" t="s">
        <v>265</v>
      </c>
      <c r="C86" t="s">
        <v>247</v>
      </c>
      <c r="D86" t="s">
        <v>247</v>
      </c>
      <c r="E86" t="s">
        <v>218</v>
      </c>
      <c r="F86" t="s">
        <v>219</v>
      </c>
      <c r="G86">
        <v>37263</v>
      </c>
      <c r="H86" t="s">
        <v>112</v>
      </c>
      <c r="I86" t="s">
        <v>113</v>
      </c>
      <c r="J86" t="s">
        <v>114</v>
      </c>
      <c r="K86" t="s">
        <v>115</v>
      </c>
      <c r="L86">
        <v>-3990.48</v>
      </c>
      <c r="M86">
        <v>0</v>
      </c>
      <c r="O86" t="s">
        <v>116</v>
      </c>
      <c r="P86">
        <v>0</v>
      </c>
      <c r="Q86" t="s">
        <v>117</v>
      </c>
      <c r="R86" t="s">
        <v>118</v>
      </c>
      <c r="S86" t="str">
        <f>IFERROR(VLOOKUP(TRIM(J86),'VAT Validation'!A:B,2,FALSE),"")</f>
        <v>VALID</v>
      </c>
    </row>
    <row r="87" spans="1:19" x14ac:dyDescent="0.35">
      <c r="A87" t="s">
        <v>107</v>
      </c>
      <c r="B87" t="s">
        <v>266</v>
      </c>
      <c r="C87" t="s">
        <v>267</v>
      </c>
      <c r="D87" t="s">
        <v>267</v>
      </c>
      <c r="E87" t="s">
        <v>218</v>
      </c>
      <c r="F87" t="s">
        <v>219</v>
      </c>
      <c r="G87">
        <v>37263</v>
      </c>
      <c r="H87" t="s">
        <v>112</v>
      </c>
      <c r="I87" t="s">
        <v>113</v>
      </c>
      <c r="J87" t="s">
        <v>114</v>
      </c>
      <c r="K87" t="s">
        <v>115</v>
      </c>
      <c r="L87">
        <v>-1807.5</v>
      </c>
      <c r="M87">
        <v>0</v>
      </c>
      <c r="O87" t="s">
        <v>116</v>
      </c>
      <c r="P87">
        <v>0</v>
      </c>
      <c r="Q87" t="s">
        <v>117</v>
      </c>
      <c r="R87" t="s">
        <v>118</v>
      </c>
      <c r="S87" t="str">
        <f>IFERROR(VLOOKUP(TRIM(J87),'VAT Validation'!A:B,2,FALSE),"")</f>
        <v>VALID</v>
      </c>
    </row>
    <row r="88" spans="1:19" x14ac:dyDescent="0.35">
      <c r="A88" t="s">
        <v>107</v>
      </c>
      <c r="B88" t="s">
        <v>268</v>
      </c>
      <c r="C88" t="s">
        <v>239</v>
      </c>
      <c r="D88" t="s">
        <v>239</v>
      </c>
      <c r="E88" t="s">
        <v>218</v>
      </c>
      <c r="F88" t="s">
        <v>219</v>
      </c>
      <c r="G88">
        <v>37263</v>
      </c>
      <c r="H88" t="s">
        <v>112</v>
      </c>
      <c r="I88" t="s">
        <v>113</v>
      </c>
      <c r="J88" t="s">
        <v>114</v>
      </c>
      <c r="K88" t="s">
        <v>115</v>
      </c>
      <c r="L88">
        <v>-3806.3</v>
      </c>
      <c r="M88">
        <v>0</v>
      </c>
      <c r="O88" t="s">
        <v>116</v>
      </c>
      <c r="P88">
        <v>0</v>
      </c>
      <c r="Q88" t="s">
        <v>117</v>
      </c>
      <c r="R88" t="s">
        <v>118</v>
      </c>
      <c r="S88" t="str">
        <f>IFERROR(VLOOKUP(TRIM(J88),'VAT Validation'!A:B,2,FALSE),"")</f>
        <v>VALID</v>
      </c>
    </row>
    <row r="89" spans="1:19" x14ac:dyDescent="0.35">
      <c r="A89" t="s">
        <v>107</v>
      </c>
      <c r="B89" t="s">
        <v>269</v>
      </c>
      <c r="C89" t="s">
        <v>239</v>
      </c>
      <c r="D89" t="s">
        <v>239</v>
      </c>
      <c r="E89" t="s">
        <v>218</v>
      </c>
      <c r="F89" t="s">
        <v>219</v>
      </c>
      <c r="G89">
        <v>37263</v>
      </c>
      <c r="H89" t="s">
        <v>112</v>
      </c>
      <c r="I89" t="s">
        <v>113</v>
      </c>
      <c r="J89" t="s">
        <v>114</v>
      </c>
      <c r="K89" t="s">
        <v>115</v>
      </c>
      <c r="L89">
        <v>-7367.04</v>
      </c>
      <c r="M89">
        <v>0</v>
      </c>
      <c r="O89" t="s">
        <v>116</v>
      </c>
      <c r="P89">
        <v>0</v>
      </c>
      <c r="Q89" t="s">
        <v>117</v>
      </c>
      <c r="R89" t="s">
        <v>118</v>
      </c>
      <c r="S89" t="str">
        <f>IFERROR(VLOOKUP(TRIM(J89),'VAT Validation'!A:B,2,FALSE),"")</f>
        <v>VALID</v>
      </c>
    </row>
    <row r="90" spans="1:19" x14ac:dyDescent="0.35">
      <c r="A90" t="s">
        <v>107</v>
      </c>
      <c r="B90" t="s">
        <v>270</v>
      </c>
      <c r="C90" t="s">
        <v>239</v>
      </c>
      <c r="D90" t="s">
        <v>239</v>
      </c>
      <c r="E90" t="s">
        <v>218</v>
      </c>
      <c r="F90" t="s">
        <v>219</v>
      </c>
      <c r="G90">
        <v>37263</v>
      </c>
      <c r="H90" t="s">
        <v>112</v>
      </c>
      <c r="I90" t="s">
        <v>113</v>
      </c>
      <c r="J90" t="s">
        <v>114</v>
      </c>
      <c r="K90" t="s">
        <v>115</v>
      </c>
      <c r="L90">
        <v>-3990.48</v>
      </c>
      <c r="M90">
        <v>0</v>
      </c>
      <c r="O90" t="s">
        <v>116</v>
      </c>
      <c r="P90">
        <v>0</v>
      </c>
      <c r="Q90" t="s">
        <v>117</v>
      </c>
      <c r="R90" t="s">
        <v>118</v>
      </c>
      <c r="S90" t="str">
        <f>IFERROR(VLOOKUP(TRIM(J90),'VAT Validation'!A:B,2,FALSE),"")</f>
        <v>VALID</v>
      </c>
    </row>
    <row r="91" spans="1:19" x14ac:dyDescent="0.35">
      <c r="A91" t="s">
        <v>107</v>
      </c>
      <c r="B91" t="s">
        <v>271</v>
      </c>
      <c r="C91" t="s">
        <v>239</v>
      </c>
      <c r="D91" t="s">
        <v>239</v>
      </c>
      <c r="E91" t="s">
        <v>218</v>
      </c>
      <c r="F91" t="s">
        <v>219</v>
      </c>
      <c r="G91">
        <v>37263</v>
      </c>
      <c r="H91" t="s">
        <v>112</v>
      </c>
      <c r="I91" t="s">
        <v>113</v>
      </c>
      <c r="J91" t="s">
        <v>114</v>
      </c>
      <c r="K91" t="s">
        <v>115</v>
      </c>
      <c r="L91">
        <v>-3990.48</v>
      </c>
      <c r="M91">
        <v>0</v>
      </c>
      <c r="O91" t="s">
        <v>116</v>
      </c>
      <c r="P91">
        <v>0</v>
      </c>
      <c r="Q91" t="s">
        <v>117</v>
      </c>
      <c r="R91" t="s">
        <v>118</v>
      </c>
      <c r="S91" t="str">
        <f>IFERROR(VLOOKUP(TRIM(J91),'VAT Validation'!A:B,2,FALSE),"")</f>
        <v>VALID</v>
      </c>
    </row>
    <row r="92" spans="1:19" x14ac:dyDescent="0.35">
      <c r="A92" t="s">
        <v>107</v>
      </c>
      <c r="B92" t="s">
        <v>272</v>
      </c>
      <c r="C92" t="s">
        <v>250</v>
      </c>
      <c r="D92" t="s">
        <v>250</v>
      </c>
      <c r="G92">
        <v>11674</v>
      </c>
      <c r="H92" t="s">
        <v>143</v>
      </c>
      <c r="I92" t="s">
        <v>113</v>
      </c>
      <c r="J92" s="16"/>
      <c r="K92" t="s">
        <v>115</v>
      </c>
      <c r="L92">
        <v>-8904</v>
      </c>
      <c r="M92">
        <v>0</v>
      </c>
      <c r="O92" t="s">
        <v>116</v>
      </c>
      <c r="P92">
        <v>0</v>
      </c>
      <c r="Q92" t="s">
        <v>117</v>
      </c>
      <c r="R92" t="s">
        <v>118</v>
      </c>
      <c r="S92" t="str">
        <f>IFERROR(VLOOKUP(TRIM(J92),'VAT Validation'!A:B,2,FALSE),"")</f>
        <v/>
      </c>
    </row>
    <row r="93" spans="1:19" x14ac:dyDescent="0.35">
      <c r="A93" t="s">
        <v>107</v>
      </c>
      <c r="B93" t="s">
        <v>273</v>
      </c>
      <c r="C93" t="s">
        <v>250</v>
      </c>
      <c r="D93" t="s">
        <v>250</v>
      </c>
      <c r="G93">
        <v>11674</v>
      </c>
      <c r="H93" t="s">
        <v>143</v>
      </c>
      <c r="I93" t="s">
        <v>113</v>
      </c>
      <c r="J93" s="16"/>
      <c r="K93" t="s">
        <v>115</v>
      </c>
      <c r="L93">
        <v>-5194</v>
      </c>
      <c r="M93">
        <v>0</v>
      </c>
      <c r="O93" t="s">
        <v>116</v>
      </c>
      <c r="P93">
        <v>0</v>
      </c>
      <c r="Q93" t="s">
        <v>117</v>
      </c>
      <c r="R93" t="s">
        <v>118</v>
      </c>
      <c r="S93" t="str">
        <f>IFERROR(VLOOKUP(TRIM(J93),'VAT Validation'!A:B,2,FALSE),"")</f>
        <v/>
      </c>
    </row>
    <row r="94" spans="1:19" x14ac:dyDescent="0.35">
      <c r="A94" t="s">
        <v>107</v>
      </c>
      <c r="B94" t="s">
        <v>274</v>
      </c>
      <c r="C94" t="s">
        <v>237</v>
      </c>
      <c r="D94" t="s">
        <v>237</v>
      </c>
      <c r="E94" t="s">
        <v>218</v>
      </c>
      <c r="F94" t="s">
        <v>219</v>
      </c>
      <c r="G94">
        <v>37263</v>
      </c>
      <c r="H94" t="s">
        <v>112</v>
      </c>
      <c r="I94" t="s">
        <v>113</v>
      </c>
      <c r="J94" t="s">
        <v>114</v>
      </c>
      <c r="K94" t="s">
        <v>115</v>
      </c>
      <c r="L94">
        <v>-13014</v>
      </c>
      <c r="M94">
        <v>0</v>
      </c>
      <c r="O94" t="s">
        <v>116</v>
      </c>
      <c r="P94">
        <v>0</v>
      </c>
      <c r="Q94" t="s">
        <v>117</v>
      </c>
      <c r="R94" t="s">
        <v>118</v>
      </c>
      <c r="S94" t="str">
        <f>IFERROR(VLOOKUP(TRIM(J94),'VAT Validation'!A:B,2,FALSE),"")</f>
        <v>VALID</v>
      </c>
    </row>
    <row r="95" spans="1:19" x14ac:dyDescent="0.35">
      <c r="A95" t="s">
        <v>107</v>
      </c>
      <c r="B95" t="s">
        <v>275</v>
      </c>
      <c r="C95" t="s">
        <v>222</v>
      </c>
      <c r="D95" t="s">
        <v>222</v>
      </c>
      <c r="E95" t="s">
        <v>241</v>
      </c>
      <c r="F95" t="s">
        <v>242</v>
      </c>
      <c r="G95">
        <v>35184</v>
      </c>
      <c r="H95" t="s">
        <v>243</v>
      </c>
      <c r="I95" t="s">
        <v>113</v>
      </c>
      <c r="J95" t="s">
        <v>244</v>
      </c>
      <c r="K95" t="s">
        <v>144</v>
      </c>
      <c r="L95">
        <v>-3985.92</v>
      </c>
      <c r="M95">
        <v>-837.04</v>
      </c>
      <c r="N95">
        <v>-837.04</v>
      </c>
      <c r="O95" t="s">
        <v>116</v>
      </c>
      <c r="P95">
        <v>21</v>
      </c>
      <c r="Q95" t="s">
        <v>145</v>
      </c>
      <c r="R95" t="s">
        <v>136</v>
      </c>
      <c r="S95" t="str">
        <f>IFERROR(VLOOKUP(TRIM(J95),'VAT Validation'!A:B,2,FALSE),"")</f>
        <v>VALID</v>
      </c>
    </row>
    <row r="96" spans="1:19" x14ac:dyDescent="0.35">
      <c r="A96" t="s">
        <v>107</v>
      </c>
      <c r="B96" t="s">
        <v>276</v>
      </c>
      <c r="C96" t="s">
        <v>250</v>
      </c>
      <c r="D96" t="s">
        <v>250</v>
      </c>
      <c r="E96" t="s">
        <v>255</v>
      </c>
      <c r="F96" t="s">
        <v>242</v>
      </c>
      <c r="G96">
        <v>70272</v>
      </c>
      <c r="H96" t="s">
        <v>256</v>
      </c>
      <c r="I96" t="s">
        <v>113</v>
      </c>
      <c r="J96" t="s">
        <v>257</v>
      </c>
      <c r="K96" t="s">
        <v>144</v>
      </c>
      <c r="L96">
        <v>-13050</v>
      </c>
      <c r="M96">
        <v>-2740.5</v>
      </c>
      <c r="N96">
        <v>-2740.5</v>
      </c>
      <c r="O96" t="s">
        <v>116</v>
      </c>
      <c r="P96">
        <v>21</v>
      </c>
      <c r="Q96" t="s">
        <v>145</v>
      </c>
      <c r="R96" t="s">
        <v>136</v>
      </c>
      <c r="S96" t="str">
        <f>IFERROR(VLOOKUP(TRIM(J96),'VAT Validation'!A:B,2,FALSE),"")</f>
        <v>VALID</v>
      </c>
    </row>
    <row r="97" spans="1:19" x14ac:dyDescent="0.35">
      <c r="A97" t="s">
        <v>107</v>
      </c>
      <c r="B97" t="s">
        <v>277</v>
      </c>
      <c r="C97" t="s">
        <v>247</v>
      </c>
      <c r="D97" t="s">
        <v>247</v>
      </c>
      <c r="E97" t="s">
        <v>218</v>
      </c>
      <c r="F97" t="s">
        <v>219</v>
      </c>
      <c r="G97">
        <v>37263</v>
      </c>
      <c r="H97" t="s">
        <v>112</v>
      </c>
      <c r="I97" t="s">
        <v>113</v>
      </c>
      <c r="J97" t="s">
        <v>114</v>
      </c>
      <c r="K97" t="s">
        <v>115</v>
      </c>
      <c r="L97">
        <v>-13014</v>
      </c>
      <c r="M97">
        <v>0</v>
      </c>
      <c r="O97" t="s">
        <v>116</v>
      </c>
      <c r="P97">
        <v>0</v>
      </c>
      <c r="Q97" t="s">
        <v>117</v>
      </c>
      <c r="R97" t="s">
        <v>118</v>
      </c>
      <c r="S97" t="str">
        <f>IFERROR(VLOOKUP(TRIM(J97),'VAT Validation'!A:B,2,FALSE),"")</f>
        <v>VALID</v>
      </c>
    </row>
    <row r="98" spans="1:19" x14ac:dyDescent="0.35">
      <c r="A98" t="s">
        <v>107</v>
      </c>
      <c r="B98" t="s">
        <v>278</v>
      </c>
      <c r="C98" t="s">
        <v>250</v>
      </c>
      <c r="D98" t="s">
        <v>250</v>
      </c>
      <c r="E98" t="s">
        <v>218</v>
      </c>
      <c r="F98" t="s">
        <v>219</v>
      </c>
      <c r="G98">
        <v>37263</v>
      </c>
      <c r="H98" t="s">
        <v>112</v>
      </c>
      <c r="I98" t="s">
        <v>113</v>
      </c>
      <c r="J98" t="s">
        <v>114</v>
      </c>
      <c r="K98" t="s">
        <v>115</v>
      </c>
      <c r="L98">
        <v>-723</v>
      </c>
      <c r="M98">
        <v>0</v>
      </c>
      <c r="O98" t="s">
        <v>116</v>
      </c>
      <c r="P98">
        <v>0</v>
      </c>
      <c r="Q98" t="s">
        <v>117</v>
      </c>
      <c r="R98" t="s">
        <v>118</v>
      </c>
      <c r="S98" t="str">
        <f>IFERROR(VLOOKUP(TRIM(J98),'VAT Validation'!A:B,2,FALSE),"")</f>
        <v>VALID</v>
      </c>
    </row>
    <row r="99" spans="1:19" x14ac:dyDescent="0.35">
      <c r="A99" t="s">
        <v>107</v>
      </c>
      <c r="B99" t="s">
        <v>279</v>
      </c>
      <c r="C99" t="s">
        <v>280</v>
      </c>
      <c r="D99" t="s">
        <v>280</v>
      </c>
      <c r="E99" t="s">
        <v>218</v>
      </c>
      <c r="F99" t="s">
        <v>219</v>
      </c>
      <c r="G99">
        <v>37263</v>
      </c>
      <c r="H99" t="s">
        <v>112</v>
      </c>
      <c r="I99" t="s">
        <v>113</v>
      </c>
      <c r="J99" t="s">
        <v>114</v>
      </c>
      <c r="K99" t="s">
        <v>115</v>
      </c>
      <c r="L99">
        <v>-723</v>
      </c>
      <c r="M99">
        <v>0</v>
      </c>
      <c r="O99" t="s">
        <v>116</v>
      </c>
      <c r="P99">
        <v>0</v>
      </c>
      <c r="Q99" t="s">
        <v>117</v>
      </c>
      <c r="R99" t="s">
        <v>118</v>
      </c>
      <c r="S99" t="str">
        <f>IFERROR(VLOOKUP(TRIM(J99),'VAT Validation'!A:B,2,FALSE),"")</f>
        <v>VALID</v>
      </c>
    </row>
    <row r="100" spans="1:19" x14ac:dyDescent="0.35">
      <c r="A100" t="s">
        <v>107</v>
      </c>
      <c r="B100" t="s">
        <v>281</v>
      </c>
      <c r="C100" t="s">
        <v>239</v>
      </c>
      <c r="D100" t="s">
        <v>239</v>
      </c>
      <c r="E100" t="s">
        <v>218</v>
      </c>
      <c r="F100" t="s">
        <v>219</v>
      </c>
      <c r="G100">
        <v>37263</v>
      </c>
      <c r="H100" t="s">
        <v>112</v>
      </c>
      <c r="I100" t="s">
        <v>113</v>
      </c>
      <c r="J100" t="s">
        <v>114</v>
      </c>
      <c r="K100" t="s">
        <v>115</v>
      </c>
      <c r="L100">
        <v>-3990.48</v>
      </c>
      <c r="M100">
        <v>0</v>
      </c>
      <c r="O100" t="s">
        <v>116</v>
      </c>
      <c r="P100">
        <v>0</v>
      </c>
      <c r="Q100" t="s">
        <v>117</v>
      </c>
      <c r="R100" t="s">
        <v>118</v>
      </c>
      <c r="S100" t="str">
        <f>IFERROR(VLOOKUP(TRIM(J100),'VAT Validation'!A:B,2,FALSE),"")</f>
        <v>VALID</v>
      </c>
    </row>
    <row r="101" spans="1:19" x14ac:dyDescent="0.35">
      <c r="A101" t="s">
        <v>128</v>
      </c>
      <c r="B101" t="s">
        <v>282</v>
      </c>
      <c r="C101" t="s">
        <v>250</v>
      </c>
      <c r="D101" t="s">
        <v>250</v>
      </c>
      <c r="G101">
        <v>11674</v>
      </c>
      <c r="H101" t="s">
        <v>143</v>
      </c>
      <c r="I101" t="s">
        <v>113</v>
      </c>
      <c r="J101" s="16"/>
      <c r="K101" t="s">
        <v>144</v>
      </c>
      <c r="L101">
        <v>12640.8</v>
      </c>
      <c r="M101">
        <v>2654.57</v>
      </c>
      <c r="N101">
        <v>2654.57</v>
      </c>
      <c r="O101" t="s">
        <v>116</v>
      </c>
      <c r="P101">
        <v>21</v>
      </c>
      <c r="Q101" t="s">
        <v>145</v>
      </c>
      <c r="R101" t="s">
        <v>136</v>
      </c>
      <c r="S101" t="str">
        <f>IFERROR(VLOOKUP(TRIM(J101),'VAT Validation'!A:B,2,FALSE),"")</f>
        <v/>
      </c>
    </row>
    <row r="102" spans="1:19" x14ac:dyDescent="0.35">
      <c r="A102" t="s">
        <v>128</v>
      </c>
      <c r="B102" t="s">
        <v>283</v>
      </c>
      <c r="C102" t="s">
        <v>250</v>
      </c>
      <c r="D102" t="s">
        <v>250</v>
      </c>
      <c r="G102">
        <v>11674</v>
      </c>
      <c r="H102" t="s">
        <v>143</v>
      </c>
      <c r="I102" t="s">
        <v>113</v>
      </c>
      <c r="J102" s="16"/>
      <c r="K102" t="s">
        <v>144</v>
      </c>
      <c r="L102">
        <v>8904</v>
      </c>
      <c r="M102">
        <v>1869.84</v>
      </c>
      <c r="N102">
        <v>1869.84</v>
      </c>
      <c r="O102" t="s">
        <v>116</v>
      </c>
      <c r="P102">
        <v>21</v>
      </c>
      <c r="Q102" t="s">
        <v>145</v>
      </c>
      <c r="R102" t="s">
        <v>136</v>
      </c>
      <c r="S102" t="str">
        <f>IFERROR(VLOOKUP(TRIM(J102),'VAT Validation'!A:B,2,FALSE),"")</f>
        <v/>
      </c>
    </row>
    <row r="103" spans="1:19" x14ac:dyDescent="0.35">
      <c r="A103" t="s">
        <v>107</v>
      </c>
      <c r="B103" t="s">
        <v>284</v>
      </c>
      <c r="C103" t="s">
        <v>285</v>
      </c>
      <c r="D103" t="s">
        <v>285</v>
      </c>
      <c r="E103" t="s">
        <v>218</v>
      </c>
      <c r="F103" t="s">
        <v>219</v>
      </c>
      <c r="G103">
        <v>37263</v>
      </c>
      <c r="H103" t="s">
        <v>112</v>
      </c>
      <c r="I103" t="s">
        <v>113</v>
      </c>
      <c r="J103" t="s">
        <v>114</v>
      </c>
      <c r="K103" t="s">
        <v>115</v>
      </c>
      <c r="L103">
        <v>-13375.5</v>
      </c>
      <c r="M103">
        <v>0</v>
      </c>
      <c r="O103" t="s">
        <v>116</v>
      </c>
      <c r="P103">
        <v>0</v>
      </c>
      <c r="Q103" t="s">
        <v>117</v>
      </c>
      <c r="R103" t="s">
        <v>118</v>
      </c>
      <c r="S103" t="str">
        <f>IFERROR(VLOOKUP(TRIM(J103),'VAT Validation'!A:B,2,FALSE),"")</f>
        <v>VALID</v>
      </c>
    </row>
    <row r="104" spans="1:19" x14ac:dyDescent="0.35">
      <c r="A104" t="s">
        <v>107</v>
      </c>
      <c r="B104" t="s">
        <v>286</v>
      </c>
      <c r="C104" t="s">
        <v>217</v>
      </c>
      <c r="D104" t="s">
        <v>217</v>
      </c>
      <c r="E104" t="s">
        <v>218</v>
      </c>
      <c r="F104" t="s">
        <v>219</v>
      </c>
      <c r="G104">
        <v>37263</v>
      </c>
      <c r="H104" t="s">
        <v>112</v>
      </c>
      <c r="I104" t="s">
        <v>113</v>
      </c>
      <c r="J104" t="s">
        <v>114</v>
      </c>
      <c r="K104" t="s">
        <v>115</v>
      </c>
      <c r="L104">
        <v>-3990.48</v>
      </c>
      <c r="M104">
        <v>0</v>
      </c>
      <c r="O104" t="s">
        <v>116</v>
      </c>
      <c r="P104">
        <v>0</v>
      </c>
      <c r="Q104" t="s">
        <v>117</v>
      </c>
      <c r="R104" t="s">
        <v>118</v>
      </c>
      <c r="S104" t="str">
        <f>IFERROR(VLOOKUP(TRIM(J104),'VAT Validation'!A:B,2,FALSE),"")</f>
        <v>VALID</v>
      </c>
    </row>
    <row r="105" spans="1:19" x14ac:dyDescent="0.35">
      <c r="A105" t="s">
        <v>107</v>
      </c>
      <c r="B105" t="s">
        <v>287</v>
      </c>
      <c r="C105" t="s">
        <v>288</v>
      </c>
      <c r="D105" t="s">
        <v>288</v>
      </c>
      <c r="E105" t="s">
        <v>218</v>
      </c>
      <c r="F105" t="s">
        <v>219</v>
      </c>
      <c r="G105">
        <v>37263</v>
      </c>
      <c r="H105" t="s">
        <v>112</v>
      </c>
      <c r="I105" t="s">
        <v>113</v>
      </c>
      <c r="J105" t="s">
        <v>114</v>
      </c>
      <c r="K105" t="s">
        <v>115</v>
      </c>
      <c r="L105">
        <v>-12652.5</v>
      </c>
      <c r="M105">
        <v>0</v>
      </c>
      <c r="O105" t="s">
        <v>116</v>
      </c>
      <c r="P105">
        <v>0</v>
      </c>
      <c r="Q105" t="s">
        <v>117</v>
      </c>
      <c r="R105" t="s">
        <v>118</v>
      </c>
      <c r="S105" t="str">
        <f>IFERROR(VLOOKUP(TRIM(J105),'VAT Validation'!A:B,2,FALSE),"")</f>
        <v>VALID</v>
      </c>
    </row>
    <row r="106" spans="1:19" x14ac:dyDescent="0.35">
      <c r="A106" t="s">
        <v>107</v>
      </c>
      <c r="B106" t="s">
        <v>289</v>
      </c>
      <c r="C106" t="s">
        <v>290</v>
      </c>
      <c r="D106" t="s">
        <v>290</v>
      </c>
      <c r="E106" t="s">
        <v>218</v>
      </c>
      <c r="F106" t="s">
        <v>219</v>
      </c>
      <c r="G106">
        <v>37263</v>
      </c>
      <c r="H106" t="s">
        <v>112</v>
      </c>
      <c r="I106" t="s">
        <v>113</v>
      </c>
      <c r="J106" t="s">
        <v>114</v>
      </c>
      <c r="K106" t="s">
        <v>115</v>
      </c>
      <c r="L106">
        <v>-1084.5</v>
      </c>
      <c r="M106">
        <v>0</v>
      </c>
      <c r="O106" t="s">
        <v>116</v>
      </c>
      <c r="P106">
        <v>0</v>
      </c>
      <c r="Q106" t="s">
        <v>117</v>
      </c>
      <c r="R106" t="s">
        <v>118</v>
      </c>
      <c r="S106" t="str">
        <f>IFERROR(VLOOKUP(TRIM(J106),'VAT Validation'!A:B,2,FALSE),"")</f>
        <v>VALID</v>
      </c>
    </row>
    <row r="107" spans="1:19" x14ac:dyDescent="0.35">
      <c r="A107" t="s">
        <v>107</v>
      </c>
      <c r="B107" t="s">
        <v>291</v>
      </c>
      <c r="C107" t="s">
        <v>247</v>
      </c>
      <c r="D107" t="s">
        <v>247</v>
      </c>
      <c r="E107" t="s">
        <v>218</v>
      </c>
      <c r="F107" t="s">
        <v>219</v>
      </c>
      <c r="G107">
        <v>37263</v>
      </c>
      <c r="H107" t="s">
        <v>112</v>
      </c>
      <c r="I107" t="s">
        <v>113</v>
      </c>
      <c r="J107" t="s">
        <v>114</v>
      </c>
      <c r="K107" t="s">
        <v>115</v>
      </c>
      <c r="L107">
        <v>-3929.09</v>
      </c>
      <c r="M107">
        <v>0</v>
      </c>
      <c r="O107" t="s">
        <v>116</v>
      </c>
      <c r="P107">
        <v>0</v>
      </c>
      <c r="Q107" t="s">
        <v>117</v>
      </c>
      <c r="R107" t="s">
        <v>118</v>
      </c>
      <c r="S107" t="str">
        <f>IFERROR(VLOOKUP(TRIM(J107),'VAT Validation'!A:B,2,FALSE),"")</f>
        <v>VALID</v>
      </c>
    </row>
    <row r="108" spans="1:19" x14ac:dyDescent="0.35">
      <c r="A108" t="s">
        <v>107</v>
      </c>
      <c r="B108" t="s">
        <v>292</v>
      </c>
      <c r="C108" t="s">
        <v>226</v>
      </c>
      <c r="D108" t="s">
        <v>226</v>
      </c>
      <c r="E108" t="s">
        <v>218</v>
      </c>
      <c r="F108" t="s">
        <v>219</v>
      </c>
      <c r="G108">
        <v>37263</v>
      </c>
      <c r="H108" t="s">
        <v>112</v>
      </c>
      <c r="I108" t="s">
        <v>113</v>
      </c>
      <c r="J108" t="s">
        <v>114</v>
      </c>
      <c r="K108" t="s">
        <v>115</v>
      </c>
      <c r="L108">
        <v>-11787.26</v>
      </c>
      <c r="M108">
        <v>0</v>
      </c>
      <c r="O108" t="s">
        <v>116</v>
      </c>
      <c r="P108">
        <v>0</v>
      </c>
      <c r="Q108" t="s">
        <v>117</v>
      </c>
      <c r="R108" t="s">
        <v>118</v>
      </c>
      <c r="S108" t="str">
        <f>IFERROR(VLOOKUP(TRIM(J108),'VAT Validation'!A:B,2,FALSE),"")</f>
        <v>VALID</v>
      </c>
    </row>
    <row r="109" spans="1:19" x14ac:dyDescent="0.35">
      <c r="A109" t="s">
        <v>107</v>
      </c>
      <c r="B109" t="s">
        <v>293</v>
      </c>
      <c r="C109" t="s">
        <v>226</v>
      </c>
      <c r="D109" t="s">
        <v>226</v>
      </c>
      <c r="E109" t="s">
        <v>218</v>
      </c>
      <c r="F109" t="s">
        <v>219</v>
      </c>
      <c r="G109">
        <v>37263</v>
      </c>
      <c r="H109" t="s">
        <v>112</v>
      </c>
      <c r="I109" t="s">
        <v>113</v>
      </c>
      <c r="J109" t="s">
        <v>114</v>
      </c>
      <c r="K109" t="s">
        <v>115</v>
      </c>
      <c r="L109">
        <v>-7980.96</v>
      </c>
      <c r="M109">
        <v>0</v>
      </c>
      <c r="O109" t="s">
        <v>116</v>
      </c>
      <c r="P109">
        <v>0</v>
      </c>
      <c r="Q109" t="s">
        <v>117</v>
      </c>
      <c r="R109" t="s">
        <v>118</v>
      </c>
      <c r="S109" t="str">
        <f>IFERROR(VLOOKUP(TRIM(J109),'VAT Validation'!A:B,2,FALSE),"")</f>
        <v>VALID</v>
      </c>
    </row>
    <row r="110" spans="1:19" x14ac:dyDescent="0.35">
      <c r="A110" t="s">
        <v>107</v>
      </c>
      <c r="B110" t="s">
        <v>294</v>
      </c>
      <c r="C110" t="s">
        <v>295</v>
      </c>
      <c r="D110" t="s">
        <v>295</v>
      </c>
      <c r="E110" t="s">
        <v>218</v>
      </c>
      <c r="F110" t="s">
        <v>219</v>
      </c>
      <c r="G110">
        <v>37263</v>
      </c>
      <c r="H110" t="s">
        <v>112</v>
      </c>
      <c r="I110" t="s">
        <v>113</v>
      </c>
      <c r="J110" t="s">
        <v>114</v>
      </c>
      <c r="K110" t="s">
        <v>115</v>
      </c>
      <c r="L110">
        <v>-12652.5</v>
      </c>
      <c r="M110">
        <v>0</v>
      </c>
      <c r="O110" t="s">
        <v>116</v>
      </c>
      <c r="P110">
        <v>0</v>
      </c>
      <c r="Q110" t="s">
        <v>117</v>
      </c>
      <c r="R110" t="s">
        <v>118</v>
      </c>
      <c r="S110" t="str">
        <f>IFERROR(VLOOKUP(TRIM(J110),'VAT Validation'!A:B,2,FALSE),"")</f>
        <v>VALID</v>
      </c>
    </row>
    <row r="111" spans="1:19" x14ac:dyDescent="0.35">
      <c r="A111" t="s">
        <v>107</v>
      </c>
      <c r="B111" t="s">
        <v>296</v>
      </c>
      <c r="C111" t="s">
        <v>250</v>
      </c>
      <c r="D111" t="s">
        <v>250</v>
      </c>
      <c r="G111">
        <v>11674</v>
      </c>
      <c r="H111" t="s">
        <v>143</v>
      </c>
      <c r="I111" t="s">
        <v>113</v>
      </c>
      <c r="J111" s="16"/>
      <c r="K111" t="s">
        <v>115</v>
      </c>
      <c r="L111">
        <v>-14421</v>
      </c>
      <c r="M111">
        <v>0</v>
      </c>
      <c r="O111" t="s">
        <v>116</v>
      </c>
      <c r="P111">
        <v>0</v>
      </c>
      <c r="Q111" t="s">
        <v>117</v>
      </c>
      <c r="R111" t="s">
        <v>118</v>
      </c>
      <c r="S111" t="str">
        <f>IFERROR(VLOOKUP(TRIM(J111),'VAT Validation'!A:B,2,FALSE),"")</f>
        <v/>
      </c>
    </row>
    <row r="112" spans="1:19" x14ac:dyDescent="0.35">
      <c r="A112" t="s">
        <v>107</v>
      </c>
      <c r="B112" t="s">
        <v>297</v>
      </c>
      <c r="C112" t="s">
        <v>250</v>
      </c>
      <c r="D112" t="s">
        <v>250</v>
      </c>
      <c r="G112">
        <v>11674</v>
      </c>
      <c r="H112" t="s">
        <v>143</v>
      </c>
      <c r="I112" t="s">
        <v>113</v>
      </c>
      <c r="J112" s="16"/>
      <c r="K112" t="s">
        <v>115</v>
      </c>
      <c r="L112">
        <v>-12640.8</v>
      </c>
      <c r="M112">
        <v>0</v>
      </c>
      <c r="O112" t="s">
        <v>116</v>
      </c>
      <c r="P112">
        <v>0</v>
      </c>
      <c r="Q112" t="s">
        <v>117</v>
      </c>
      <c r="R112" t="s">
        <v>118</v>
      </c>
      <c r="S112" t="str">
        <f>IFERROR(VLOOKUP(TRIM(J112),'VAT Validation'!A:B,2,FALSE),"")</f>
        <v/>
      </c>
    </row>
    <row r="113" spans="1:19" x14ac:dyDescent="0.35">
      <c r="A113" t="s">
        <v>128</v>
      </c>
      <c r="B113" t="s">
        <v>298</v>
      </c>
      <c r="C113" t="s">
        <v>224</v>
      </c>
      <c r="D113" t="s">
        <v>226</v>
      </c>
      <c r="G113">
        <v>608760</v>
      </c>
      <c r="H113" t="s">
        <v>132</v>
      </c>
      <c r="I113" t="s">
        <v>113</v>
      </c>
      <c r="J113" t="s">
        <v>133</v>
      </c>
      <c r="K113" t="s">
        <v>134</v>
      </c>
      <c r="L113">
        <v>0</v>
      </c>
      <c r="M113">
        <v>-2254.5700000000002</v>
      </c>
      <c r="N113">
        <v>-2254.5700000000002</v>
      </c>
      <c r="O113" t="s">
        <v>116</v>
      </c>
      <c r="P113">
        <v>0</v>
      </c>
      <c r="Q113" t="s">
        <v>135</v>
      </c>
      <c r="R113" t="s">
        <v>136</v>
      </c>
      <c r="S113" t="str">
        <f>IFERROR(VLOOKUP(TRIM(J113),'VAT Validation'!A:B,2,FALSE),"")</f>
        <v>VALID</v>
      </c>
    </row>
    <row r="114" spans="1:19" x14ac:dyDescent="0.35">
      <c r="A114" t="s">
        <v>128</v>
      </c>
      <c r="B114" t="s">
        <v>298</v>
      </c>
      <c r="C114" t="s">
        <v>224</v>
      </c>
      <c r="D114" t="s">
        <v>226</v>
      </c>
      <c r="G114">
        <v>608760</v>
      </c>
      <c r="H114" t="s">
        <v>132</v>
      </c>
      <c r="I114" t="s">
        <v>113</v>
      </c>
      <c r="J114" t="s">
        <v>133</v>
      </c>
      <c r="K114" t="s">
        <v>137</v>
      </c>
      <c r="L114">
        <v>10736</v>
      </c>
      <c r="M114">
        <v>2254.5700000000002</v>
      </c>
      <c r="N114">
        <v>2254.5700000000002</v>
      </c>
      <c r="O114" t="s">
        <v>116</v>
      </c>
      <c r="P114">
        <v>21</v>
      </c>
      <c r="Q114" t="s">
        <v>138</v>
      </c>
      <c r="R114" t="s">
        <v>136</v>
      </c>
      <c r="S114" t="str">
        <f>IFERROR(VLOOKUP(TRIM(J114),'VAT Validation'!A:B,2,FALSE),"")</f>
        <v>VALID</v>
      </c>
    </row>
    <row r="115" spans="1:19" x14ac:dyDescent="0.35">
      <c r="A115" t="s">
        <v>128</v>
      </c>
      <c r="B115" t="s">
        <v>299</v>
      </c>
      <c r="C115" t="s">
        <v>261</v>
      </c>
      <c r="D115" t="s">
        <v>300</v>
      </c>
      <c r="G115">
        <v>608760</v>
      </c>
      <c r="H115" t="s">
        <v>132</v>
      </c>
      <c r="I115" t="s">
        <v>113</v>
      </c>
      <c r="J115" t="s">
        <v>133</v>
      </c>
      <c r="K115" t="s">
        <v>137</v>
      </c>
      <c r="L115">
        <v>998.48</v>
      </c>
      <c r="M115">
        <v>209.68</v>
      </c>
      <c r="N115">
        <v>209.68</v>
      </c>
      <c r="O115" t="s">
        <v>116</v>
      </c>
      <c r="P115">
        <v>21</v>
      </c>
      <c r="Q115" t="s">
        <v>138</v>
      </c>
      <c r="R115" t="s">
        <v>136</v>
      </c>
      <c r="S115" t="str">
        <f>IFERROR(VLOOKUP(TRIM(J115),'VAT Validation'!A:B,2,FALSE),"")</f>
        <v>VALID</v>
      </c>
    </row>
    <row r="116" spans="1:19" x14ac:dyDescent="0.35">
      <c r="A116" t="s">
        <v>128</v>
      </c>
      <c r="B116" t="s">
        <v>299</v>
      </c>
      <c r="C116" t="s">
        <v>261</v>
      </c>
      <c r="D116" t="s">
        <v>300</v>
      </c>
      <c r="G116">
        <v>608760</v>
      </c>
      <c r="H116" t="s">
        <v>132</v>
      </c>
      <c r="I116" t="s">
        <v>113</v>
      </c>
      <c r="J116" t="s">
        <v>133</v>
      </c>
      <c r="K116" t="s">
        <v>134</v>
      </c>
      <c r="L116">
        <v>0</v>
      </c>
      <c r="M116">
        <v>-209.68</v>
      </c>
      <c r="N116">
        <v>-209.68</v>
      </c>
      <c r="O116" t="s">
        <v>116</v>
      </c>
      <c r="P116">
        <v>0</v>
      </c>
      <c r="Q116" t="s">
        <v>135</v>
      </c>
      <c r="R116" t="s">
        <v>136</v>
      </c>
      <c r="S116" t="str">
        <f>IFERROR(VLOOKUP(TRIM(J116),'VAT Validation'!A:B,2,FALSE),"")</f>
        <v>VALID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"/>
  <sheetViews>
    <sheetView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2" max="2" width="12.90625" bestFit="1" customWidth="1"/>
    <col min="3" max="3" width="11.1796875" bestFit="1" customWidth="1"/>
    <col min="4" max="4" width="34.90625" bestFit="1" customWidth="1"/>
  </cols>
  <sheetData>
    <row r="1" spans="1:19" x14ac:dyDescent="0.35">
      <c r="A1" s="15" t="s">
        <v>88</v>
      </c>
      <c r="B1" s="15" t="s">
        <v>89</v>
      </c>
      <c r="C1" s="15" t="s">
        <v>90</v>
      </c>
      <c r="D1" s="15" t="s">
        <v>91</v>
      </c>
      <c r="E1" s="15" t="s">
        <v>92</v>
      </c>
      <c r="F1" s="15" t="s">
        <v>93</v>
      </c>
      <c r="G1" s="15" t="s">
        <v>94</v>
      </c>
      <c r="H1" s="15" t="s">
        <v>95</v>
      </c>
      <c r="I1" s="15" t="s">
        <v>96</v>
      </c>
      <c r="J1" s="15" t="s">
        <v>97</v>
      </c>
      <c r="K1" s="15" t="s">
        <v>98</v>
      </c>
      <c r="L1" s="15" t="s">
        <v>99</v>
      </c>
      <c r="M1" s="15" t="s">
        <v>100</v>
      </c>
      <c r="N1" s="15" t="s">
        <v>101</v>
      </c>
      <c r="O1" s="15" t="s">
        <v>102</v>
      </c>
      <c r="P1" s="15" t="s">
        <v>103</v>
      </c>
      <c r="Q1" s="15" t="s">
        <v>104</v>
      </c>
      <c r="R1" s="15" t="s">
        <v>105</v>
      </c>
      <c r="S1" s="15" t="s">
        <v>106</v>
      </c>
    </row>
    <row r="2" spans="1:19" x14ac:dyDescent="0.35">
      <c r="A2" t="s">
        <v>128</v>
      </c>
      <c r="B2" t="s">
        <v>129</v>
      </c>
      <c r="C2" t="s">
        <v>130</v>
      </c>
      <c r="D2" t="s">
        <v>131</v>
      </c>
      <c r="G2">
        <v>608760</v>
      </c>
      <c r="H2" t="s">
        <v>132</v>
      </c>
      <c r="I2" t="s">
        <v>113</v>
      </c>
      <c r="J2" t="s">
        <v>133</v>
      </c>
      <c r="K2" t="s">
        <v>137</v>
      </c>
      <c r="L2">
        <v>1719.76</v>
      </c>
      <c r="M2">
        <v>361.15</v>
      </c>
      <c r="N2">
        <v>361.15</v>
      </c>
      <c r="O2" t="s">
        <v>116</v>
      </c>
      <c r="P2">
        <v>21</v>
      </c>
      <c r="Q2" t="s">
        <v>138</v>
      </c>
      <c r="R2" t="s">
        <v>136</v>
      </c>
      <c r="S2" t="str">
        <f>IFERROR(VLOOKUP(TRIM(J2),'VAT Validation'!A:B,2,FALSE),"")</f>
        <v>VALID</v>
      </c>
    </row>
    <row r="3" spans="1:19" x14ac:dyDescent="0.35">
      <c r="A3" t="s">
        <v>128</v>
      </c>
      <c r="B3" t="s">
        <v>139</v>
      </c>
      <c r="C3" t="s">
        <v>140</v>
      </c>
      <c r="D3" t="s">
        <v>141</v>
      </c>
      <c r="G3">
        <v>608760</v>
      </c>
      <c r="H3" t="s">
        <v>132</v>
      </c>
      <c r="I3" t="s">
        <v>113</v>
      </c>
      <c r="J3" t="s">
        <v>133</v>
      </c>
      <c r="K3" t="s">
        <v>137</v>
      </c>
      <c r="L3">
        <v>6370.38</v>
      </c>
      <c r="M3">
        <v>1337.78</v>
      </c>
      <c r="N3">
        <v>1337.78</v>
      </c>
      <c r="O3" t="s">
        <v>116</v>
      </c>
      <c r="P3">
        <v>21</v>
      </c>
      <c r="Q3" t="s">
        <v>138</v>
      </c>
      <c r="R3" t="s">
        <v>136</v>
      </c>
      <c r="S3" t="str">
        <f>IFERROR(VLOOKUP(TRIM(J3),'VAT Validation'!A:B,2,FALSE),"")</f>
        <v>VALID</v>
      </c>
    </row>
    <row r="4" spans="1:19" x14ac:dyDescent="0.35">
      <c r="A4" t="s">
        <v>128</v>
      </c>
      <c r="B4" t="s">
        <v>298</v>
      </c>
      <c r="C4" t="s">
        <v>224</v>
      </c>
      <c r="D4" t="s">
        <v>226</v>
      </c>
      <c r="G4">
        <v>608760</v>
      </c>
      <c r="H4" t="s">
        <v>132</v>
      </c>
      <c r="I4" t="s">
        <v>113</v>
      </c>
      <c r="J4" t="s">
        <v>133</v>
      </c>
      <c r="K4" t="s">
        <v>137</v>
      </c>
      <c r="L4">
        <v>10736</v>
      </c>
      <c r="M4">
        <v>2254.5700000000002</v>
      </c>
      <c r="N4">
        <v>2254.5700000000002</v>
      </c>
      <c r="O4" t="s">
        <v>116</v>
      </c>
      <c r="P4">
        <v>21</v>
      </c>
      <c r="Q4" t="s">
        <v>138</v>
      </c>
      <c r="R4" t="s">
        <v>136</v>
      </c>
      <c r="S4" t="str">
        <f>IFERROR(VLOOKUP(TRIM(J4),'VAT Validation'!A:B,2,FALSE),"")</f>
        <v>VALID</v>
      </c>
    </row>
    <row r="5" spans="1:19" x14ac:dyDescent="0.35">
      <c r="A5" t="s">
        <v>128</v>
      </c>
      <c r="B5" t="s">
        <v>299</v>
      </c>
      <c r="C5" t="s">
        <v>261</v>
      </c>
      <c r="D5" t="s">
        <v>300</v>
      </c>
      <c r="G5">
        <v>608760</v>
      </c>
      <c r="H5" t="s">
        <v>132</v>
      </c>
      <c r="I5" t="s">
        <v>113</v>
      </c>
      <c r="J5" t="s">
        <v>133</v>
      </c>
      <c r="K5" t="s">
        <v>137</v>
      </c>
      <c r="L5">
        <v>998.48</v>
      </c>
      <c r="M5">
        <v>209.68</v>
      </c>
      <c r="N5">
        <v>209.68</v>
      </c>
      <c r="O5" t="s">
        <v>116</v>
      </c>
      <c r="P5">
        <v>21</v>
      </c>
      <c r="Q5" t="s">
        <v>138</v>
      </c>
      <c r="R5" t="s">
        <v>136</v>
      </c>
      <c r="S5" t="str">
        <f>IFERROR(VLOOKUP(TRIM(J5),'VAT Validation'!A:B,2,FALSE),"")</f>
        <v>VALID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3" max="3" width="11.1796875" bestFit="1" customWidth="1"/>
    <col min="4" max="4" width="34.90625" bestFit="1" customWidth="1"/>
  </cols>
  <sheetData>
    <row r="1" spans="1:19" x14ac:dyDescent="0.35">
      <c r="A1" s="15" t="s">
        <v>88</v>
      </c>
      <c r="B1" s="15" t="s">
        <v>89</v>
      </c>
      <c r="C1" s="15" t="s">
        <v>90</v>
      </c>
      <c r="D1" s="15" t="s">
        <v>91</v>
      </c>
      <c r="E1" s="15" t="s">
        <v>92</v>
      </c>
      <c r="F1" s="15" t="s">
        <v>93</v>
      </c>
      <c r="G1" s="15" t="s">
        <v>94</v>
      </c>
      <c r="H1" s="15" t="s">
        <v>95</v>
      </c>
      <c r="I1" s="15" t="s">
        <v>96</v>
      </c>
      <c r="J1" s="15" t="s">
        <v>97</v>
      </c>
      <c r="K1" s="15" t="s">
        <v>98</v>
      </c>
      <c r="L1" s="15" t="s">
        <v>99</v>
      </c>
      <c r="M1" s="15" t="s">
        <v>100</v>
      </c>
      <c r="N1" s="15" t="s">
        <v>101</v>
      </c>
      <c r="O1" s="15" t="s">
        <v>102</v>
      </c>
      <c r="P1" s="15" t="s">
        <v>103</v>
      </c>
      <c r="Q1" s="15" t="s">
        <v>104</v>
      </c>
      <c r="R1" s="15" t="s">
        <v>105</v>
      </c>
      <c r="S1" s="15" t="s">
        <v>106</v>
      </c>
    </row>
    <row r="2" spans="1:19" x14ac:dyDescent="0.35">
      <c r="A2" t="s">
        <v>107</v>
      </c>
      <c r="B2" t="s">
        <v>142</v>
      </c>
      <c r="C2" t="s">
        <v>130</v>
      </c>
      <c r="D2" t="s">
        <v>130</v>
      </c>
      <c r="E2" t="s">
        <v>130</v>
      </c>
      <c r="F2" t="s">
        <v>111</v>
      </c>
      <c r="G2">
        <v>11674</v>
      </c>
      <c r="H2" t="s">
        <v>143</v>
      </c>
      <c r="I2" t="s">
        <v>113</v>
      </c>
      <c r="J2" s="16"/>
      <c r="K2" t="s">
        <v>144</v>
      </c>
      <c r="L2">
        <v>-5194</v>
      </c>
      <c r="M2">
        <v>-1090.74</v>
      </c>
      <c r="N2">
        <v>-1090.74</v>
      </c>
      <c r="O2" t="s">
        <v>116</v>
      </c>
      <c r="P2">
        <v>21</v>
      </c>
      <c r="Q2" t="s">
        <v>145</v>
      </c>
      <c r="R2" t="s">
        <v>136</v>
      </c>
      <c r="S2" t="str">
        <f>IFERROR(VLOOKUP(TRIM(J2),'VAT Validation'!A:B,2,FALSE),"")</f>
        <v/>
      </c>
    </row>
    <row r="3" spans="1:19" x14ac:dyDescent="0.35">
      <c r="A3" t="s">
        <v>107</v>
      </c>
      <c r="B3" t="s">
        <v>146</v>
      </c>
      <c r="C3" t="s">
        <v>140</v>
      </c>
      <c r="D3" t="s">
        <v>141</v>
      </c>
      <c r="E3" t="s">
        <v>140</v>
      </c>
      <c r="F3" t="s">
        <v>147</v>
      </c>
      <c r="G3">
        <v>11690</v>
      </c>
      <c r="H3" t="s">
        <v>148</v>
      </c>
      <c r="I3" t="s">
        <v>113</v>
      </c>
      <c r="J3" s="16"/>
      <c r="K3" t="s">
        <v>144</v>
      </c>
      <c r="L3">
        <v>-7333.2</v>
      </c>
      <c r="M3">
        <v>-1539.97</v>
      </c>
      <c r="N3">
        <v>-1539.97</v>
      </c>
      <c r="O3" t="s">
        <v>116</v>
      </c>
      <c r="P3">
        <v>21</v>
      </c>
      <c r="Q3" t="s">
        <v>145</v>
      </c>
      <c r="R3" t="s">
        <v>136</v>
      </c>
      <c r="S3" t="str">
        <f>IFERROR(VLOOKUP(TRIM(J3),'VAT Validation'!A:B,2,FALSE),"")</f>
        <v/>
      </c>
    </row>
    <row r="4" spans="1:19" x14ac:dyDescent="0.35">
      <c r="A4" t="s">
        <v>128</v>
      </c>
      <c r="B4" t="s">
        <v>211</v>
      </c>
      <c r="C4" s="16" t="s">
        <v>212</v>
      </c>
      <c r="D4" t="s">
        <v>195</v>
      </c>
      <c r="G4">
        <v>70590</v>
      </c>
      <c r="H4" t="s">
        <v>213</v>
      </c>
      <c r="I4" t="s">
        <v>113</v>
      </c>
      <c r="J4" t="s">
        <v>214</v>
      </c>
      <c r="K4" t="s">
        <v>144</v>
      </c>
      <c r="L4">
        <v>843.6</v>
      </c>
      <c r="M4">
        <v>177.16</v>
      </c>
      <c r="N4">
        <v>0</v>
      </c>
      <c r="O4" t="s">
        <v>116</v>
      </c>
      <c r="P4">
        <v>21</v>
      </c>
      <c r="Q4" t="s">
        <v>145</v>
      </c>
      <c r="R4" s="17" t="s">
        <v>215</v>
      </c>
      <c r="S4" t="str">
        <f>IFERROR(VLOOKUP(TRIM(J4),'VAT Validation'!A:B,2,FALSE),"")</f>
        <v>VALID</v>
      </c>
    </row>
    <row r="5" spans="1:19" x14ac:dyDescent="0.35">
      <c r="A5" t="s">
        <v>107</v>
      </c>
      <c r="B5" t="s">
        <v>240</v>
      </c>
      <c r="C5" t="s">
        <v>222</v>
      </c>
      <c r="D5" t="s">
        <v>222</v>
      </c>
      <c r="E5" t="s">
        <v>241</v>
      </c>
      <c r="F5" t="s">
        <v>242</v>
      </c>
      <c r="G5">
        <v>35184</v>
      </c>
      <c r="H5" t="s">
        <v>243</v>
      </c>
      <c r="I5" t="s">
        <v>113</v>
      </c>
      <c r="J5" t="s">
        <v>244</v>
      </c>
      <c r="K5" t="s">
        <v>144</v>
      </c>
      <c r="L5">
        <v>-3985.92</v>
      </c>
      <c r="M5">
        <v>-837.04</v>
      </c>
      <c r="N5">
        <v>-837.04</v>
      </c>
      <c r="O5" t="s">
        <v>116</v>
      </c>
      <c r="P5">
        <v>21</v>
      </c>
      <c r="Q5" t="s">
        <v>145</v>
      </c>
      <c r="R5" t="s">
        <v>136</v>
      </c>
      <c r="S5" t="str">
        <f>IFERROR(VLOOKUP(TRIM(J5),'VAT Validation'!A:B,2,FALSE),"")</f>
        <v>VALID</v>
      </c>
    </row>
    <row r="6" spans="1:19" x14ac:dyDescent="0.35">
      <c r="A6" t="s">
        <v>128</v>
      </c>
      <c r="B6" t="s">
        <v>252</v>
      </c>
      <c r="C6" t="s">
        <v>250</v>
      </c>
      <c r="D6" t="s">
        <v>250</v>
      </c>
      <c r="G6">
        <v>11674</v>
      </c>
      <c r="H6" t="s">
        <v>143</v>
      </c>
      <c r="I6" t="s">
        <v>113</v>
      </c>
      <c r="J6" s="16"/>
      <c r="K6" t="s">
        <v>144</v>
      </c>
      <c r="L6">
        <v>14421</v>
      </c>
      <c r="M6">
        <v>3028.41</v>
      </c>
      <c r="N6">
        <v>3028.41</v>
      </c>
      <c r="O6" t="s">
        <v>116</v>
      </c>
      <c r="P6">
        <v>21</v>
      </c>
      <c r="Q6" t="s">
        <v>145</v>
      </c>
      <c r="R6" t="s">
        <v>136</v>
      </c>
      <c r="S6" t="str">
        <f>IFERROR(VLOOKUP(TRIM(J6),'VAT Validation'!A:B,2,FALSE),"")</f>
        <v/>
      </c>
    </row>
    <row r="7" spans="1:19" x14ac:dyDescent="0.35">
      <c r="A7" t="s">
        <v>128</v>
      </c>
      <c r="B7" t="s">
        <v>253</v>
      </c>
      <c r="C7" t="s">
        <v>250</v>
      </c>
      <c r="D7" t="s">
        <v>250</v>
      </c>
      <c r="G7">
        <v>11674</v>
      </c>
      <c r="H7" t="s">
        <v>143</v>
      </c>
      <c r="I7" t="s">
        <v>113</v>
      </c>
      <c r="J7" s="16"/>
      <c r="K7" t="s">
        <v>144</v>
      </c>
      <c r="L7">
        <v>5194</v>
      </c>
      <c r="M7">
        <v>1090.74</v>
      </c>
      <c r="N7">
        <v>1090.74</v>
      </c>
      <c r="O7" t="s">
        <v>116</v>
      </c>
      <c r="P7">
        <v>21</v>
      </c>
      <c r="Q7" t="s">
        <v>145</v>
      </c>
      <c r="R7" t="s">
        <v>136</v>
      </c>
      <c r="S7" t="str">
        <f>IFERROR(VLOOKUP(TRIM(J7),'VAT Validation'!A:B,2,FALSE),"")</f>
        <v/>
      </c>
    </row>
    <row r="8" spans="1:19" x14ac:dyDescent="0.35">
      <c r="A8" t="s">
        <v>107</v>
      </c>
      <c r="B8" t="s">
        <v>254</v>
      </c>
      <c r="C8" t="s">
        <v>250</v>
      </c>
      <c r="D8" t="s">
        <v>250</v>
      </c>
      <c r="E8" t="s">
        <v>255</v>
      </c>
      <c r="F8" t="s">
        <v>242</v>
      </c>
      <c r="G8">
        <v>70272</v>
      </c>
      <c r="H8" t="s">
        <v>256</v>
      </c>
      <c r="I8" t="s">
        <v>113</v>
      </c>
      <c r="J8" t="s">
        <v>257</v>
      </c>
      <c r="K8" t="s">
        <v>144</v>
      </c>
      <c r="L8">
        <v>-5850</v>
      </c>
      <c r="M8">
        <v>-1228.5</v>
      </c>
      <c r="N8">
        <v>-1228.5</v>
      </c>
      <c r="O8" t="s">
        <v>116</v>
      </c>
      <c r="P8">
        <v>21</v>
      </c>
      <c r="Q8" t="s">
        <v>145</v>
      </c>
      <c r="R8" t="s">
        <v>136</v>
      </c>
      <c r="S8" t="str">
        <f>IFERROR(VLOOKUP(TRIM(J8),'VAT Validation'!A:B,2,FALSE),"")</f>
        <v>VALID</v>
      </c>
    </row>
    <row r="9" spans="1:19" x14ac:dyDescent="0.35">
      <c r="A9" t="s">
        <v>128</v>
      </c>
      <c r="B9" t="s">
        <v>263</v>
      </c>
      <c r="C9" t="s">
        <v>250</v>
      </c>
      <c r="D9" t="s">
        <v>250</v>
      </c>
      <c r="G9">
        <v>11674</v>
      </c>
      <c r="H9" t="s">
        <v>143</v>
      </c>
      <c r="I9" t="s">
        <v>113</v>
      </c>
      <c r="J9" s="16"/>
      <c r="K9" t="s">
        <v>144</v>
      </c>
      <c r="L9">
        <v>3710</v>
      </c>
      <c r="M9">
        <v>779.1</v>
      </c>
      <c r="N9">
        <v>779.1</v>
      </c>
      <c r="O9" t="s">
        <v>116</v>
      </c>
      <c r="P9">
        <v>21</v>
      </c>
      <c r="Q9" t="s">
        <v>145</v>
      </c>
      <c r="R9" t="s">
        <v>136</v>
      </c>
      <c r="S9" t="str">
        <f>IFERROR(VLOOKUP(TRIM(J9),'VAT Validation'!A:B,2,FALSE),"")</f>
        <v/>
      </c>
    </row>
    <row r="10" spans="1:19" x14ac:dyDescent="0.35">
      <c r="A10" t="s">
        <v>107</v>
      </c>
      <c r="B10" t="s">
        <v>275</v>
      </c>
      <c r="C10" t="s">
        <v>222</v>
      </c>
      <c r="D10" t="s">
        <v>222</v>
      </c>
      <c r="E10" t="s">
        <v>241</v>
      </c>
      <c r="F10" t="s">
        <v>242</v>
      </c>
      <c r="G10">
        <v>35184</v>
      </c>
      <c r="H10" t="s">
        <v>243</v>
      </c>
      <c r="I10" t="s">
        <v>113</v>
      </c>
      <c r="J10" t="s">
        <v>244</v>
      </c>
      <c r="K10" t="s">
        <v>144</v>
      </c>
      <c r="L10">
        <v>-3985.92</v>
      </c>
      <c r="M10">
        <v>-837.04</v>
      </c>
      <c r="N10">
        <v>-837.04</v>
      </c>
      <c r="O10" t="s">
        <v>116</v>
      </c>
      <c r="P10">
        <v>21</v>
      </c>
      <c r="Q10" t="s">
        <v>145</v>
      </c>
      <c r="R10" t="s">
        <v>136</v>
      </c>
      <c r="S10" t="str">
        <f>IFERROR(VLOOKUP(TRIM(J10),'VAT Validation'!A:B,2,FALSE),"")</f>
        <v>VALID</v>
      </c>
    </row>
    <row r="11" spans="1:19" x14ac:dyDescent="0.35">
      <c r="A11" t="s">
        <v>107</v>
      </c>
      <c r="B11" t="s">
        <v>276</v>
      </c>
      <c r="C11" t="s">
        <v>250</v>
      </c>
      <c r="D11" t="s">
        <v>250</v>
      </c>
      <c r="E11" t="s">
        <v>255</v>
      </c>
      <c r="F11" t="s">
        <v>242</v>
      </c>
      <c r="G11">
        <v>70272</v>
      </c>
      <c r="H11" t="s">
        <v>256</v>
      </c>
      <c r="I11" t="s">
        <v>113</v>
      </c>
      <c r="J11" t="s">
        <v>257</v>
      </c>
      <c r="K11" t="s">
        <v>144</v>
      </c>
      <c r="L11">
        <v>-13050</v>
      </c>
      <c r="M11">
        <v>-2740.5</v>
      </c>
      <c r="N11">
        <v>-2740.5</v>
      </c>
      <c r="O11" t="s">
        <v>116</v>
      </c>
      <c r="P11">
        <v>21</v>
      </c>
      <c r="Q11" t="s">
        <v>145</v>
      </c>
      <c r="R11" t="s">
        <v>136</v>
      </c>
      <c r="S11" t="str">
        <f>IFERROR(VLOOKUP(TRIM(J11),'VAT Validation'!A:B,2,FALSE),"")</f>
        <v>VALID</v>
      </c>
    </row>
    <row r="12" spans="1:19" x14ac:dyDescent="0.35">
      <c r="A12" t="s">
        <v>128</v>
      </c>
      <c r="B12" t="s">
        <v>282</v>
      </c>
      <c r="C12" t="s">
        <v>250</v>
      </c>
      <c r="D12" t="s">
        <v>250</v>
      </c>
      <c r="G12">
        <v>11674</v>
      </c>
      <c r="H12" t="s">
        <v>143</v>
      </c>
      <c r="I12" t="s">
        <v>113</v>
      </c>
      <c r="J12" s="16"/>
      <c r="K12" t="s">
        <v>144</v>
      </c>
      <c r="L12">
        <v>12640.8</v>
      </c>
      <c r="M12">
        <v>2654.57</v>
      </c>
      <c r="N12">
        <v>2654.57</v>
      </c>
      <c r="O12" t="s">
        <v>116</v>
      </c>
      <c r="P12">
        <v>21</v>
      </c>
      <c r="Q12" t="s">
        <v>145</v>
      </c>
      <c r="R12" t="s">
        <v>136</v>
      </c>
      <c r="S12" t="str">
        <f>IFERROR(VLOOKUP(TRIM(J12),'VAT Validation'!A:B,2,FALSE),"")</f>
        <v/>
      </c>
    </row>
    <row r="13" spans="1:19" x14ac:dyDescent="0.35">
      <c r="A13" t="s">
        <v>128</v>
      </c>
      <c r="B13" t="s">
        <v>283</v>
      </c>
      <c r="C13" t="s">
        <v>250</v>
      </c>
      <c r="D13" t="s">
        <v>250</v>
      </c>
      <c r="G13">
        <v>11674</v>
      </c>
      <c r="H13" t="s">
        <v>143</v>
      </c>
      <c r="I13" t="s">
        <v>113</v>
      </c>
      <c r="J13" s="16"/>
      <c r="K13" t="s">
        <v>144</v>
      </c>
      <c r="L13">
        <v>8904</v>
      </c>
      <c r="M13">
        <v>1869.84</v>
      </c>
      <c r="N13">
        <v>1869.84</v>
      </c>
      <c r="O13" t="s">
        <v>116</v>
      </c>
      <c r="P13">
        <v>21</v>
      </c>
      <c r="Q13" t="s">
        <v>145</v>
      </c>
      <c r="R13" t="s">
        <v>136</v>
      </c>
      <c r="S13" t="str">
        <f>IFERROR(VLOOKUP(TRIM(J13),'VAT Validation'!A:B,2,FALSE),"")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96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3" max="3" width="11.1796875" bestFit="1" customWidth="1"/>
    <col min="4" max="4" width="34.90625" bestFit="1" customWidth="1"/>
  </cols>
  <sheetData>
    <row r="1" spans="1:19" x14ac:dyDescent="0.35">
      <c r="A1" s="15" t="s">
        <v>88</v>
      </c>
      <c r="B1" s="15" t="s">
        <v>89</v>
      </c>
      <c r="C1" s="15" t="s">
        <v>90</v>
      </c>
      <c r="D1" s="15" t="s">
        <v>91</v>
      </c>
      <c r="E1" s="15" t="s">
        <v>92</v>
      </c>
      <c r="F1" s="15" t="s">
        <v>93</v>
      </c>
      <c r="G1" s="15" t="s">
        <v>94</v>
      </c>
      <c r="H1" s="15" t="s">
        <v>95</v>
      </c>
      <c r="I1" s="15" t="s">
        <v>96</v>
      </c>
      <c r="J1" s="15" t="s">
        <v>97</v>
      </c>
      <c r="K1" s="15" t="s">
        <v>98</v>
      </c>
      <c r="L1" s="15" t="s">
        <v>99</v>
      </c>
      <c r="M1" s="15" t="s">
        <v>100</v>
      </c>
      <c r="N1" s="15" t="s">
        <v>101</v>
      </c>
      <c r="O1" s="15" t="s">
        <v>102</v>
      </c>
      <c r="P1" s="15" t="s">
        <v>103</v>
      </c>
      <c r="Q1" s="15" t="s">
        <v>104</v>
      </c>
      <c r="R1" s="15" t="s">
        <v>105</v>
      </c>
      <c r="S1" s="15" t="s">
        <v>106</v>
      </c>
    </row>
    <row r="2" spans="1:19" x14ac:dyDescent="0.35">
      <c r="A2" t="s">
        <v>107</v>
      </c>
      <c r="B2" t="s">
        <v>108</v>
      </c>
      <c r="C2" t="s">
        <v>109</v>
      </c>
      <c r="D2" t="s">
        <v>109</v>
      </c>
      <c r="E2" t="s">
        <v>110</v>
      </c>
      <c r="F2" t="s">
        <v>111</v>
      </c>
      <c r="G2">
        <v>37263</v>
      </c>
      <c r="H2" t="s">
        <v>112</v>
      </c>
      <c r="I2" t="s">
        <v>113</v>
      </c>
      <c r="J2" t="s">
        <v>114</v>
      </c>
      <c r="K2" t="s">
        <v>115</v>
      </c>
      <c r="L2">
        <v>-31432.7</v>
      </c>
      <c r="M2">
        <v>0</v>
      </c>
      <c r="O2" t="s">
        <v>116</v>
      </c>
      <c r="P2">
        <v>0</v>
      </c>
      <c r="Q2" t="s">
        <v>117</v>
      </c>
      <c r="R2" t="s">
        <v>118</v>
      </c>
      <c r="S2" t="str">
        <f>IFERROR(VLOOKUP(TRIM(J2),'VAT Validation'!A:B,2,FALSE),"")</f>
        <v>VALID</v>
      </c>
    </row>
    <row r="3" spans="1:19" x14ac:dyDescent="0.35">
      <c r="A3" t="s">
        <v>107</v>
      </c>
      <c r="B3" t="s">
        <v>119</v>
      </c>
      <c r="C3" t="s">
        <v>120</v>
      </c>
      <c r="D3" t="s">
        <v>120</v>
      </c>
      <c r="E3" t="s">
        <v>109</v>
      </c>
      <c r="F3" t="s">
        <v>111</v>
      </c>
      <c r="G3">
        <v>37263</v>
      </c>
      <c r="H3" t="s">
        <v>112</v>
      </c>
      <c r="I3" t="s">
        <v>113</v>
      </c>
      <c r="J3" t="s">
        <v>114</v>
      </c>
      <c r="K3" t="s">
        <v>115</v>
      </c>
      <c r="L3">
        <v>-6814.51</v>
      </c>
      <c r="M3">
        <v>0</v>
      </c>
      <c r="O3" t="s">
        <v>116</v>
      </c>
      <c r="P3">
        <v>0</v>
      </c>
      <c r="Q3" t="s">
        <v>117</v>
      </c>
      <c r="R3" t="s">
        <v>118</v>
      </c>
      <c r="S3" t="str">
        <f>IFERROR(VLOOKUP(TRIM(J3),'VAT Validation'!A:B,2,FALSE),"")</f>
        <v>VALID</v>
      </c>
    </row>
    <row r="4" spans="1:19" x14ac:dyDescent="0.35">
      <c r="A4" t="s">
        <v>107</v>
      </c>
      <c r="B4" t="s">
        <v>121</v>
      </c>
      <c r="C4" t="s">
        <v>120</v>
      </c>
      <c r="D4" t="s">
        <v>120</v>
      </c>
      <c r="E4" t="s">
        <v>109</v>
      </c>
      <c r="F4" t="s">
        <v>111</v>
      </c>
      <c r="G4">
        <v>37263</v>
      </c>
      <c r="H4" t="s">
        <v>112</v>
      </c>
      <c r="I4" t="s">
        <v>113</v>
      </c>
      <c r="J4" t="s">
        <v>114</v>
      </c>
      <c r="K4" t="s">
        <v>115</v>
      </c>
      <c r="L4">
        <v>-3253.78</v>
      </c>
      <c r="M4">
        <v>0</v>
      </c>
      <c r="O4" t="s">
        <v>116</v>
      </c>
      <c r="P4">
        <v>0</v>
      </c>
      <c r="Q4" t="s">
        <v>117</v>
      </c>
      <c r="R4" t="s">
        <v>118</v>
      </c>
      <c r="S4" t="str">
        <f>IFERROR(VLOOKUP(TRIM(J4),'VAT Validation'!A:B,2,FALSE),"")</f>
        <v>VALID</v>
      </c>
    </row>
    <row r="5" spans="1:19" x14ac:dyDescent="0.35">
      <c r="A5" t="s">
        <v>107</v>
      </c>
      <c r="B5" t="s">
        <v>122</v>
      </c>
      <c r="C5" t="s">
        <v>120</v>
      </c>
      <c r="D5" t="s">
        <v>120</v>
      </c>
      <c r="E5" t="s">
        <v>109</v>
      </c>
      <c r="F5" t="s">
        <v>111</v>
      </c>
      <c r="G5">
        <v>37263</v>
      </c>
      <c r="H5" t="s">
        <v>112</v>
      </c>
      <c r="I5" t="s">
        <v>113</v>
      </c>
      <c r="J5" t="s">
        <v>114</v>
      </c>
      <c r="K5" t="s">
        <v>115</v>
      </c>
      <c r="L5">
        <v>-3929.09</v>
      </c>
      <c r="M5">
        <v>0</v>
      </c>
      <c r="O5" t="s">
        <v>116</v>
      </c>
      <c r="P5">
        <v>0</v>
      </c>
      <c r="Q5" t="s">
        <v>117</v>
      </c>
      <c r="R5" t="s">
        <v>118</v>
      </c>
      <c r="S5" t="str">
        <f>IFERROR(VLOOKUP(TRIM(J5),'VAT Validation'!A:B,2,FALSE),"")</f>
        <v>VALID</v>
      </c>
    </row>
    <row r="6" spans="1:19" x14ac:dyDescent="0.35">
      <c r="A6" t="s">
        <v>107</v>
      </c>
      <c r="B6" t="s">
        <v>123</v>
      </c>
      <c r="C6" t="s">
        <v>120</v>
      </c>
      <c r="D6" t="s">
        <v>120</v>
      </c>
      <c r="E6" t="s">
        <v>120</v>
      </c>
      <c r="F6" t="s">
        <v>111</v>
      </c>
      <c r="G6">
        <v>37263</v>
      </c>
      <c r="H6" t="s">
        <v>112</v>
      </c>
      <c r="I6" t="s">
        <v>113</v>
      </c>
      <c r="J6" t="s">
        <v>114</v>
      </c>
      <c r="K6" t="s">
        <v>115</v>
      </c>
      <c r="L6">
        <v>-7980.96</v>
      </c>
      <c r="M6">
        <v>0</v>
      </c>
      <c r="O6" t="s">
        <v>116</v>
      </c>
      <c r="P6">
        <v>0</v>
      </c>
      <c r="Q6" t="s">
        <v>117</v>
      </c>
      <c r="R6" t="s">
        <v>118</v>
      </c>
      <c r="S6" t="str">
        <f>IFERROR(VLOOKUP(TRIM(J6),'VAT Validation'!A:B,2,FALSE),"")</f>
        <v>VALID</v>
      </c>
    </row>
    <row r="7" spans="1:19" x14ac:dyDescent="0.35">
      <c r="A7" t="s">
        <v>107</v>
      </c>
      <c r="B7" t="s">
        <v>124</v>
      </c>
      <c r="C7" t="s">
        <v>125</v>
      </c>
      <c r="D7" t="s">
        <v>125</v>
      </c>
      <c r="E7" t="s">
        <v>125</v>
      </c>
      <c r="F7" t="s">
        <v>111</v>
      </c>
      <c r="G7">
        <v>37263</v>
      </c>
      <c r="H7" t="s">
        <v>112</v>
      </c>
      <c r="I7" t="s">
        <v>113</v>
      </c>
      <c r="J7" t="s">
        <v>114</v>
      </c>
      <c r="K7" t="s">
        <v>115</v>
      </c>
      <c r="L7">
        <v>-7980.96</v>
      </c>
      <c r="M7">
        <v>0</v>
      </c>
      <c r="O7" t="s">
        <v>116</v>
      </c>
      <c r="P7">
        <v>0</v>
      </c>
      <c r="Q7" t="s">
        <v>117</v>
      </c>
      <c r="R7" t="s">
        <v>118</v>
      </c>
      <c r="S7" t="str">
        <f>IFERROR(VLOOKUP(TRIM(J7),'VAT Validation'!A:B,2,FALSE),"")</f>
        <v>VALID</v>
      </c>
    </row>
    <row r="8" spans="1:19" x14ac:dyDescent="0.35">
      <c r="A8" t="s">
        <v>107</v>
      </c>
      <c r="B8" t="s">
        <v>126</v>
      </c>
      <c r="C8" t="s">
        <v>127</v>
      </c>
      <c r="D8" t="s">
        <v>127</v>
      </c>
      <c r="E8" t="s">
        <v>127</v>
      </c>
      <c r="F8" t="s">
        <v>111</v>
      </c>
      <c r="G8">
        <v>37263</v>
      </c>
      <c r="H8" t="s">
        <v>112</v>
      </c>
      <c r="I8" t="s">
        <v>113</v>
      </c>
      <c r="J8" t="s">
        <v>114</v>
      </c>
      <c r="K8" t="s">
        <v>115</v>
      </c>
      <c r="L8">
        <v>-7980.96</v>
      </c>
      <c r="M8">
        <v>0</v>
      </c>
      <c r="O8" t="s">
        <v>116</v>
      </c>
      <c r="P8">
        <v>0</v>
      </c>
      <c r="Q8" t="s">
        <v>117</v>
      </c>
      <c r="R8" t="s">
        <v>118</v>
      </c>
      <c r="S8" t="str">
        <f>IFERROR(VLOOKUP(TRIM(J8),'VAT Validation'!A:B,2,FALSE),"")</f>
        <v>VALID</v>
      </c>
    </row>
    <row r="9" spans="1:19" x14ac:dyDescent="0.35">
      <c r="A9" t="s">
        <v>107</v>
      </c>
      <c r="B9" t="s">
        <v>149</v>
      </c>
      <c r="C9" t="s">
        <v>150</v>
      </c>
      <c r="D9" t="s">
        <v>150</v>
      </c>
      <c r="E9" t="s">
        <v>150</v>
      </c>
      <c r="F9" t="s">
        <v>111</v>
      </c>
      <c r="G9">
        <v>37263</v>
      </c>
      <c r="H9" t="s">
        <v>112</v>
      </c>
      <c r="I9" t="s">
        <v>113</v>
      </c>
      <c r="J9" t="s">
        <v>114</v>
      </c>
      <c r="K9" t="s">
        <v>115</v>
      </c>
      <c r="L9">
        <v>-3990.48</v>
      </c>
      <c r="M9">
        <v>0</v>
      </c>
      <c r="O9" t="s">
        <v>116</v>
      </c>
      <c r="P9">
        <v>0</v>
      </c>
      <c r="Q9" t="s">
        <v>117</v>
      </c>
      <c r="R9" t="s">
        <v>118</v>
      </c>
      <c r="S9" t="str">
        <f>IFERROR(VLOOKUP(TRIM(J9),'VAT Validation'!A:B,2,FALSE),"")</f>
        <v>VALID</v>
      </c>
    </row>
    <row r="10" spans="1:19" x14ac:dyDescent="0.35">
      <c r="A10" t="s">
        <v>107</v>
      </c>
      <c r="B10" t="s">
        <v>151</v>
      </c>
      <c r="C10" t="s">
        <v>152</v>
      </c>
      <c r="D10" t="s">
        <v>152</v>
      </c>
      <c r="E10" t="s">
        <v>152</v>
      </c>
      <c r="F10" t="s">
        <v>111</v>
      </c>
      <c r="G10">
        <v>37263</v>
      </c>
      <c r="H10" t="s">
        <v>112</v>
      </c>
      <c r="I10" t="s">
        <v>113</v>
      </c>
      <c r="J10" t="s">
        <v>114</v>
      </c>
      <c r="K10" t="s">
        <v>115</v>
      </c>
      <c r="L10">
        <v>-3990.48</v>
      </c>
      <c r="M10">
        <v>0</v>
      </c>
      <c r="O10" t="s">
        <v>116</v>
      </c>
      <c r="P10">
        <v>0</v>
      </c>
      <c r="Q10" t="s">
        <v>117</v>
      </c>
      <c r="R10" t="s">
        <v>118</v>
      </c>
      <c r="S10" t="str">
        <f>IFERROR(VLOOKUP(TRIM(J10),'VAT Validation'!A:B,2,FALSE),"")</f>
        <v>VALID</v>
      </c>
    </row>
    <row r="11" spans="1:19" x14ac:dyDescent="0.35">
      <c r="A11" t="s">
        <v>107</v>
      </c>
      <c r="B11" t="s">
        <v>153</v>
      </c>
      <c r="C11" t="s">
        <v>154</v>
      </c>
      <c r="D11" t="s">
        <v>154</v>
      </c>
      <c r="E11" t="s">
        <v>109</v>
      </c>
      <c r="F11" t="s">
        <v>111</v>
      </c>
      <c r="G11">
        <v>37263</v>
      </c>
      <c r="H11" t="s">
        <v>112</v>
      </c>
      <c r="I11" t="s">
        <v>113</v>
      </c>
      <c r="J11" t="s">
        <v>114</v>
      </c>
      <c r="K11" t="s">
        <v>115</v>
      </c>
      <c r="L11">
        <v>-1446</v>
      </c>
      <c r="M11">
        <v>0</v>
      </c>
      <c r="O11" t="s">
        <v>116</v>
      </c>
      <c r="P11">
        <v>0</v>
      </c>
      <c r="Q11" t="s">
        <v>117</v>
      </c>
      <c r="R11" t="s">
        <v>118</v>
      </c>
      <c r="S11" t="str">
        <f>IFERROR(VLOOKUP(TRIM(J11),'VAT Validation'!A:B,2,FALSE),"")</f>
        <v>VALID</v>
      </c>
    </row>
    <row r="12" spans="1:19" x14ac:dyDescent="0.35">
      <c r="A12" t="s">
        <v>107</v>
      </c>
      <c r="B12" t="s">
        <v>155</v>
      </c>
      <c r="C12" t="s">
        <v>154</v>
      </c>
      <c r="D12" t="s">
        <v>154</v>
      </c>
      <c r="E12" t="s">
        <v>109</v>
      </c>
      <c r="F12" t="s">
        <v>111</v>
      </c>
      <c r="G12">
        <v>37263</v>
      </c>
      <c r="H12" t="s">
        <v>112</v>
      </c>
      <c r="I12" t="s">
        <v>113</v>
      </c>
      <c r="J12" t="s">
        <v>114</v>
      </c>
      <c r="K12" t="s">
        <v>115</v>
      </c>
      <c r="L12">
        <v>-1446</v>
      </c>
      <c r="M12">
        <v>0</v>
      </c>
      <c r="O12" t="s">
        <v>116</v>
      </c>
      <c r="P12">
        <v>0</v>
      </c>
      <c r="Q12" t="s">
        <v>117</v>
      </c>
      <c r="R12" t="s">
        <v>118</v>
      </c>
      <c r="S12" t="str">
        <f>IFERROR(VLOOKUP(TRIM(J12),'VAT Validation'!A:B,2,FALSE),"")</f>
        <v>VALID</v>
      </c>
    </row>
    <row r="13" spans="1:19" x14ac:dyDescent="0.35">
      <c r="A13" t="s">
        <v>107</v>
      </c>
      <c r="B13" t="s">
        <v>156</v>
      </c>
      <c r="C13" t="s">
        <v>154</v>
      </c>
      <c r="D13" t="s">
        <v>154</v>
      </c>
      <c r="E13" t="s">
        <v>109</v>
      </c>
      <c r="F13" t="s">
        <v>111</v>
      </c>
      <c r="G13">
        <v>37263</v>
      </c>
      <c r="H13" t="s">
        <v>112</v>
      </c>
      <c r="I13" t="s">
        <v>113</v>
      </c>
      <c r="J13" t="s">
        <v>114</v>
      </c>
      <c r="K13" t="s">
        <v>115</v>
      </c>
      <c r="L13">
        <v>-13737</v>
      </c>
      <c r="M13">
        <v>0</v>
      </c>
      <c r="O13" t="s">
        <v>116</v>
      </c>
      <c r="P13">
        <v>0</v>
      </c>
      <c r="Q13" t="s">
        <v>117</v>
      </c>
      <c r="R13" t="s">
        <v>118</v>
      </c>
      <c r="S13" t="str">
        <f>IFERROR(VLOOKUP(TRIM(J13),'VAT Validation'!A:B,2,FALSE),"")</f>
        <v>VALID</v>
      </c>
    </row>
    <row r="14" spans="1:19" x14ac:dyDescent="0.35">
      <c r="A14" t="s">
        <v>107</v>
      </c>
      <c r="B14" t="s">
        <v>157</v>
      </c>
      <c r="C14" t="s">
        <v>154</v>
      </c>
      <c r="D14" t="s">
        <v>154</v>
      </c>
      <c r="E14" t="s">
        <v>120</v>
      </c>
      <c r="F14" t="s">
        <v>111</v>
      </c>
      <c r="G14">
        <v>37263</v>
      </c>
      <c r="H14" t="s">
        <v>112</v>
      </c>
      <c r="I14" t="s">
        <v>113</v>
      </c>
      <c r="J14" t="s">
        <v>114</v>
      </c>
      <c r="K14" t="s">
        <v>115</v>
      </c>
      <c r="L14">
        <v>-1084.5</v>
      </c>
      <c r="M14">
        <v>0</v>
      </c>
      <c r="O14" t="s">
        <v>116</v>
      </c>
      <c r="P14">
        <v>0</v>
      </c>
      <c r="Q14" t="s">
        <v>117</v>
      </c>
      <c r="R14" t="s">
        <v>118</v>
      </c>
      <c r="S14" t="str">
        <f>IFERROR(VLOOKUP(TRIM(J14),'VAT Validation'!A:B,2,FALSE),"")</f>
        <v>VALID</v>
      </c>
    </row>
    <row r="15" spans="1:19" x14ac:dyDescent="0.35">
      <c r="A15" t="s">
        <v>107</v>
      </c>
      <c r="B15" t="s">
        <v>158</v>
      </c>
      <c r="C15" t="s">
        <v>154</v>
      </c>
      <c r="D15" t="s">
        <v>154</v>
      </c>
      <c r="E15" t="s">
        <v>125</v>
      </c>
      <c r="F15" t="s">
        <v>111</v>
      </c>
      <c r="G15">
        <v>37263</v>
      </c>
      <c r="H15" t="s">
        <v>112</v>
      </c>
      <c r="I15" t="s">
        <v>113</v>
      </c>
      <c r="J15" t="s">
        <v>114</v>
      </c>
      <c r="K15" t="s">
        <v>115</v>
      </c>
      <c r="L15">
        <v>-13014</v>
      </c>
      <c r="M15">
        <v>0</v>
      </c>
      <c r="O15" t="s">
        <v>116</v>
      </c>
      <c r="P15">
        <v>0</v>
      </c>
      <c r="Q15" t="s">
        <v>117</v>
      </c>
      <c r="R15" t="s">
        <v>118</v>
      </c>
      <c r="S15" t="str">
        <f>IFERROR(VLOOKUP(TRIM(J15),'VAT Validation'!A:B,2,FALSE),"")</f>
        <v>VALID</v>
      </c>
    </row>
    <row r="16" spans="1:19" x14ac:dyDescent="0.35">
      <c r="A16" t="s">
        <v>107</v>
      </c>
      <c r="B16" t="s">
        <v>159</v>
      </c>
      <c r="C16" t="s">
        <v>154</v>
      </c>
      <c r="D16" t="s">
        <v>154</v>
      </c>
      <c r="E16" t="s">
        <v>127</v>
      </c>
      <c r="F16" t="s">
        <v>111</v>
      </c>
      <c r="G16">
        <v>37263</v>
      </c>
      <c r="H16" t="s">
        <v>112</v>
      </c>
      <c r="I16" t="s">
        <v>113</v>
      </c>
      <c r="J16" t="s">
        <v>114</v>
      </c>
      <c r="K16" t="s">
        <v>115</v>
      </c>
      <c r="L16">
        <v>-1446</v>
      </c>
      <c r="M16">
        <v>0</v>
      </c>
      <c r="O16" t="s">
        <v>116</v>
      </c>
      <c r="P16">
        <v>0</v>
      </c>
      <c r="Q16" t="s">
        <v>117</v>
      </c>
      <c r="R16" t="s">
        <v>118</v>
      </c>
      <c r="S16" t="str">
        <f>IFERROR(VLOOKUP(TRIM(J16),'VAT Validation'!A:B,2,FALSE),"")</f>
        <v>VALID</v>
      </c>
    </row>
    <row r="17" spans="1:19" x14ac:dyDescent="0.35">
      <c r="A17" t="s">
        <v>107</v>
      </c>
      <c r="B17" t="s">
        <v>160</v>
      </c>
      <c r="C17" t="s">
        <v>154</v>
      </c>
      <c r="D17" t="s">
        <v>154</v>
      </c>
      <c r="E17" t="s">
        <v>150</v>
      </c>
      <c r="F17" t="s">
        <v>111</v>
      </c>
      <c r="G17">
        <v>37263</v>
      </c>
      <c r="H17" t="s">
        <v>112</v>
      </c>
      <c r="I17" t="s">
        <v>113</v>
      </c>
      <c r="J17" t="s">
        <v>114</v>
      </c>
      <c r="K17" t="s">
        <v>115</v>
      </c>
      <c r="L17">
        <v>-1446</v>
      </c>
      <c r="M17">
        <v>0</v>
      </c>
      <c r="O17" t="s">
        <v>116</v>
      </c>
      <c r="P17">
        <v>0</v>
      </c>
      <c r="Q17" t="s">
        <v>117</v>
      </c>
      <c r="R17" t="s">
        <v>118</v>
      </c>
      <c r="S17" t="str">
        <f>IFERROR(VLOOKUP(TRIM(J17),'VAT Validation'!A:B,2,FALSE),"")</f>
        <v>VALID</v>
      </c>
    </row>
    <row r="18" spans="1:19" x14ac:dyDescent="0.35">
      <c r="A18" t="s">
        <v>107</v>
      </c>
      <c r="B18" t="s">
        <v>161</v>
      </c>
      <c r="C18" t="s">
        <v>154</v>
      </c>
      <c r="D18" t="s">
        <v>154</v>
      </c>
      <c r="E18" t="s">
        <v>152</v>
      </c>
      <c r="F18" t="s">
        <v>111</v>
      </c>
      <c r="G18">
        <v>37263</v>
      </c>
      <c r="H18" t="s">
        <v>112</v>
      </c>
      <c r="I18" t="s">
        <v>113</v>
      </c>
      <c r="J18" t="s">
        <v>114</v>
      </c>
      <c r="K18" t="s">
        <v>115</v>
      </c>
      <c r="L18">
        <v>-12652.5</v>
      </c>
      <c r="M18">
        <v>0</v>
      </c>
      <c r="O18" t="s">
        <v>116</v>
      </c>
      <c r="P18">
        <v>0</v>
      </c>
      <c r="Q18" t="s">
        <v>117</v>
      </c>
      <c r="R18" t="s">
        <v>118</v>
      </c>
      <c r="S18" t="str">
        <f>IFERROR(VLOOKUP(TRIM(J18),'VAT Validation'!A:B,2,FALSE),"")</f>
        <v>VALID</v>
      </c>
    </row>
    <row r="19" spans="1:19" x14ac:dyDescent="0.35">
      <c r="A19" t="s">
        <v>107</v>
      </c>
      <c r="B19" t="s">
        <v>162</v>
      </c>
      <c r="C19" t="s">
        <v>154</v>
      </c>
      <c r="D19" t="s">
        <v>154</v>
      </c>
      <c r="E19" t="s">
        <v>154</v>
      </c>
      <c r="F19" t="s">
        <v>111</v>
      </c>
      <c r="G19">
        <v>37263</v>
      </c>
      <c r="H19" t="s">
        <v>112</v>
      </c>
      <c r="I19" t="s">
        <v>113</v>
      </c>
      <c r="J19" t="s">
        <v>114</v>
      </c>
      <c r="K19" t="s">
        <v>115</v>
      </c>
      <c r="L19">
        <v>-1446</v>
      </c>
      <c r="M19">
        <v>0</v>
      </c>
      <c r="O19" t="s">
        <v>116</v>
      </c>
      <c r="P19">
        <v>0</v>
      </c>
      <c r="Q19" t="s">
        <v>117</v>
      </c>
      <c r="R19" t="s">
        <v>118</v>
      </c>
      <c r="S19" t="str">
        <f>IFERROR(VLOOKUP(TRIM(J19),'VAT Validation'!A:B,2,FALSE),"")</f>
        <v>VALID</v>
      </c>
    </row>
    <row r="20" spans="1:19" x14ac:dyDescent="0.35">
      <c r="A20" t="s">
        <v>107</v>
      </c>
      <c r="B20" t="s">
        <v>163</v>
      </c>
      <c r="C20" t="s">
        <v>164</v>
      </c>
      <c r="D20" t="s">
        <v>164</v>
      </c>
      <c r="E20" t="s">
        <v>164</v>
      </c>
      <c r="F20" t="s">
        <v>111</v>
      </c>
      <c r="G20">
        <v>37263</v>
      </c>
      <c r="H20" t="s">
        <v>112</v>
      </c>
      <c r="I20" t="s">
        <v>113</v>
      </c>
      <c r="J20" t="s">
        <v>114</v>
      </c>
      <c r="K20" t="s">
        <v>115</v>
      </c>
      <c r="L20">
        <v>-16642.98</v>
      </c>
      <c r="M20">
        <v>0</v>
      </c>
      <c r="O20" t="s">
        <v>116</v>
      </c>
      <c r="P20">
        <v>0</v>
      </c>
      <c r="Q20" t="s">
        <v>117</v>
      </c>
      <c r="R20" t="s">
        <v>118</v>
      </c>
      <c r="S20" t="str">
        <f>IFERROR(VLOOKUP(TRIM(J20),'VAT Validation'!A:B,2,FALSE),"")</f>
        <v>VALID</v>
      </c>
    </row>
    <row r="21" spans="1:19" x14ac:dyDescent="0.35">
      <c r="A21" t="s">
        <v>107</v>
      </c>
      <c r="B21" t="s">
        <v>165</v>
      </c>
      <c r="C21" t="s">
        <v>166</v>
      </c>
      <c r="D21" t="s">
        <v>166</v>
      </c>
      <c r="E21" t="s">
        <v>166</v>
      </c>
      <c r="F21" t="s">
        <v>111</v>
      </c>
      <c r="G21">
        <v>37263</v>
      </c>
      <c r="H21" t="s">
        <v>112</v>
      </c>
      <c r="I21" t="s">
        <v>113</v>
      </c>
      <c r="J21" t="s">
        <v>114</v>
      </c>
      <c r="K21" t="s">
        <v>115</v>
      </c>
      <c r="L21">
        <v>-1084.5</v>
      </c>
      <c r="M21">
        <v>0</v>
      </c>
      <c r="O21" t="s">
        <v>116</v>
      </c>
      <c r="P21">
        <v>0</v>
      </c>
      <c r="Q21" t="s">
        <v>117</v>
      </c>
      <c r="R21" t="s">
        <v>118</v>
      </c>
      <c r="S21" t="str">
        <f>IFERROR(VLOOKUP(TRIM(J21),'VAT Validation'!A:B,2,FALSE),"")</f>
        <v>VALID</v>
      </c>
    </row>
    <row r="22" spans="1:19" x14ac:dyDescent="0.35">
      <c r="A22" t="s">
        <v>107</v>
      </c>
      <c r="B22" t="s">
        <v>167</v>
      </c>
      <c r="C22" t="s">
        <v>166</v>
      </c>
      <c r="D22" t="s">
        <v>166</v>
      </c>
      <c r="E22" t="s">
        <v>154</v>
      </c>
      <c r="F22" t="s">
        <v>111</v>
      </c>
      <c r="G22">
        <v>37263</v>
      </c>
      <c r="H22" t="s">
        <v>112</v>
      </c>
      <c r="I22" t="s">
        <v>113</v>
      </c>
      <c r="J22" t="s">
        <v>114</v>
      </c>
      <c r="K22" t="s">
        <v>115</v>
      </c>
      <c r="L22">
        <v>-7367.04</v>
      </c>
      <c r="M22">
        <v>0</v>
      </c>
      <c r="O22" t="s">
        <v>116</v>
      </c>
      <c r="P22">
        <v>0</v>
      </c>
      <c r="Q22" t="s">
        <v>117</v>
      </c>
      <c r="R22" t="s">
        <v>118</v>
      </c>
      <c r="S22" t="str">
        <f>IFERROR(VLOOKUP(TRIM(J22),'VAT Validation'!A:B,2,FALSE),"")</f>
        <v>VALID</v>
      </c>
    </row>
    <row r="23" spans="1:19" x14ac:dyDescent="0.35">
      <c r="A23" t="s">
        <v>107</v>
      </c>
      <c r="B23" t="s">
        <v>168</v>
      </c>
      <c r="C23" t="s">
        <v>166</v>
      </c>
      <c r="D23" t="s">
        <v>166</v>
      </c>
      <c r="E23" t="s">
        <v>166</v>
      </c>
      <c r="F23" t="s">
        <v>111</v>
      </c>
      <c r="G23">
        <v>37263</v>
      </c>
      <c r="H23" t="s">
        <v>112</v>
      </c>
      <c r="I23" t="s">
        <v>113</v>
      </c>
      <c r="J23" t="s">
        <v>114</v>
      </c>
      <c r="K23" t="s">
        <v>115</v>
      </c>
      <c r="L23">
        <v>-3990.48</v>
      </c>
      <c r="M23">
        <v>0</v>
      </c>
      <c r="O23" t="s">
        <v>116</v>
      </c>
      <c r="P23">
        <v>0</v>
      </c>
      <c r="Q23" t="s">
        <v>117</v>
      </c>
      <c r="R23" t="s">
        <v>118</v>
      </c>
      <c r="S23" t="str">
        <f>IFERROR(VLOOKUP(TRIM(J23),'VAT Validation'!A:B,2,FALSE),"")</f>
        <v>VALID</v>
      </c>
    </row>
    <row r="24" spans="1:19" x14ac:dyDescent="0.35">
      <c r="A24" t="s">
        <v>107</v>
      </c>
      <c r="B24" t="s">
        <v>169</v>
      </c>
      <c r="C24" t="s">
        <v>170</v>
      </c>
      <c r="D24" t="s">
        <v>170</v>
      </c>
      <c r="E24" t="s">
        <v>170</v>
      </c>
      <c r="F24" t="s">
        <v>111</v>
      </c>
      <c r="G24">
        <v>37263</v>
      </c>
      <c r="H24" t="s">
        <v>112</v>
      </c>
      <c r="I24" t="s">
        <v>113</v>
      </c>
      <c r="J24" t="s">
        <v>114</v>
      </c>
      <c r="K24" t="s">
        <v>115</v>
      </c>
      <c r="L24">
        <v>-21356.46</v>
      </c>
      <c r="M24">
        <v>0</v>
      </c>
      <c r="O24" t="s">
        <v>116</v>
      </c>
      <c r="P24">
        <v>0</v>
      </c>
      <c r="Q24" t="s">
        <v>117</v>
      </c>
      <c r="R24" t="s">
        <v>118</v>
      </c>
      <c r="S24" t="str">
        <f>IFERROR(VLOOKUP(TRIM(J24),'VAT Validation'!A:B,2,FALSE),"")</f>
        <v>VALID</v>
      </c>
    </row>
    <row r="25" spans="1:19" x14ac:dyDescent="0.35">
      <c r="A25" t="s">
        <v>107</v>
      </c>
      <c r="B25" t="s">
        <v>171</v>
      </c>
      <c r="C25" t="s">
        <v>172</v>
      </c>
      <c r="D25" t="s">
        <v>172</v>
      </c>
      <c r="E25" t="s">
        <v>172</v>
      </c>
      <c r="F25" t="s">
        <v>111</v>
      </c>
      <c r="G25">
        <v>37263</v>
      </c>
      <c r="H25" t="s">
        <v>112</v>
      </c>
      <c r="I25" t="s">
        <v>113</v>
      </c>
      <c r="J25" t="s">
        <v>114</v>
      </c>
      <c r="K25" t="s">
        <v>115</v>
      </c>
      <c r="L25">
        <v>-5074.9799999999996</v>
      </c>
      <c r="M25">
        <v>0</v>
      </c>
      <c r="O25" t="s">
        <v>116</v>
      </c>
      <c r="P25">
        <v>0</v>
      </c>
      <c r="Q25" t="s">
        <v>117</v>
      </c>
      <c r="R25" t="s">
        <v>118</v>
      </c>
      <c r="S25" t="str">
        <f>IFERROR(VLOOKUP(TRIM(J25),'VAT Validation'!A:B,2,FALSE),"")</f>
        <v>VALID</v>
      </c>
    </row>
    <row r="26" spans="1:19" x14ac:dyDescent="0.35">
      <c r="A26" t="s">
        <v>107</v>
      </c>
      <c r="B26" t="s">
        <v>173</v>
      </c>
      <c r="C26" t="s">
        <v>172</v>
      </c>
      <c r="D26" t="s">
        <v>172</v>
      </c>
      <c r="E26" t="s">
        <v>172</v>
      </c>
      <c r="F26" t="s">
        <v>111</v>
      </c>
      <c r="G26">
        <v>37263</v>
      </c>
      <c r="H26" t="s">
        <v>112</v>
      </c>
      <c r="I26" t="s">
        <v>113</v>
      </c>
      <c r="J26" t="s">
        <v>114</v>
      </c>
      <c r="K26" t="s">
        <v>115</v>
      </c>
      <c r="L26">
        <v>-3990.48</v>
      </c>
      <c r="M26">
        <v>0</v>
      </c>
      <c r="O26" t="s">
        <v>116</v>
      </c>
      <c r="P26">
        <v>0</v>
      </c>
      <c r="Q26" t="s">
        <v>117</v>
      </c>
      <c r="R26" t="s">
        <v>118</v>
      </c>
      <c r="S26" t="str">
        <f>IFERROR(VLOOKUP(TRIM(J26),'VAT Validation'!A:B,2,FALSE),"")</f>
        <v>VALID</v>
      </c>
    </row>
    <row r="27" spans="1:19" x14ac:dyDescent="0.35">
      <c r="A27" t="s">
        <v>107</v>
      </c>
      <c r="B27" t="s">
        <v>174</v>
      </c>
      <c r="C27" t="s">
        <v>172</v>
      </c>
      <c r="D27" t="s">
        <v>172</v>
      </c>
      <c r="E27" t="s">
        <v>172</v>
      </c>
      <c r="F27" t="s">
        <v>111</v>
      </c>
      <c r="G27">
        <v>37263</v>
      </c>
      <c r="H27" t="s">
        <v>112</v>
      </c>
      <c r="I27" t="s">
        <v>113</v>
      </c>
      <c r="J27" t="s">
        <v>114</v>
      </c>
      <c r="K27" t="s">
        <v>115</v>
      </c>
      <c r="L27">
        <v>-12291</v>
      </c>
      <c r="M27">
        <v>0</v>
      </c>
      <c r="O27" t="s">
        <v>116</v>
      </c>
      <c r="P27">
        <v>0</v>
      </c>
      <c r="Q27" t="s">
        <v>117</v>
      </c>
      <c r="R27" t="s">
        <v>118</v>
      </c>
      <c r="S27" t="str">
        <f>IFERROR(VLOOKUP(TRIM(J27),'VAT Validation'!A:B,2,FALSE),"")</f>
        <v>VALID</v>
      </c>
    </row>
    <row r="28" spans="1:19" x14ac:dyDescent="0.35">
      <c r="A28" t="s">
        <v>107</v>
      </c>
      <c r="B28" t="s">
        <v>175</v>
      </c>
      <c r="C28" t="s">
        <v>172</v>
      </c>
      <c r="D28" t="s">
        <v>172</v>
      </c>
      <c r="E28" t="s">
        <v>172</v>
      </c>
      <c r="F28" t="s">
        <v>111</v>
      </c>
      <c r="G28">
        <v>37263</v>
      </c>
      <c r="H28" t="s">
        <v>112</v>
      </c>
      <c r="I28" t="s">
        <v>113</v>
      </c>
      <c r="J28" t="s">
        <v>114</v>
      </c>
      <c r="K28" t="s">
        <v>115</v>
      </c>
      <c r="L28">
        <v>-2530.5</v>
      </c>
      <c r="M28">
        <v>0</v>
      </c>
      <c r="O28" t="s">
        <v>116</v>
      </c>
      <c r="P28">
        <v>0</v>
      </c>
      <c r="Q28" t="s">
        <v>117</v>
      </c>
      <c r="R28" t="s">
        <v>118</v>
      </c>
      <c r="S28" t="str">
        <f>IFERROR(VLOOKUP(TRIM(J28),'VAT Validation'!A:B,2,FALSE),"")</f>
        <v>VALID</v>
      </c>
    </row>
    <row r="29" spans="1:19" x14ac:dyDescent="0.35">
      <c r="A29" t="s">
        <v>107</v>
      </c>
      <c r="B29" t="s">
        <v>176</v>
      </c>
      <c r="C29" t="s">
        <v>172</v>
      </c>
      <c r="D29" t="s">
        <v>172</v>
      </c>
      <c r="E29" t="s">
        <v>172</v>
      </c>
      <c r="F29" t="s">
        <v>111</v>
      </c>
      <c r="G29">
        <v>37263</v>
      </c>
      <c r="H29" t="s">
        <v>112</v>
      </c>
      <c r="I29" t="s">
        <v>113</v>
      </c>
      <c r="J29" t="s">
        <v>114</v>
      </c>
      <c r="K29" t="s">
        <v>115</v>
      </c>
      <c r="L29">
        <v>-3990.48</v>
      </c>
      <c r="M29">
        <v>0</v>
      </c>
      <c r="O29" t="s">
        <v>116</v>
      </c>
      <c r="P29">
        <v>0</v>
      </c>
      <c r="Q29" t="s">
        <v>117</v>
      </c>
      <c r="R29" t="s">
        <v>118</v>
      </c>
      <c r="S29" t="str">
        <f>IFERROR(VLOOKUP(TRIM(J29),'VAT Validation'!A:B,2,FALSE),"")</f>
        <v>VALID</v>
      </c>
    </row>
    <row r="30" spans="1:19" x14ac:dyDescent="0.35">
      <c r="A30" t="s">
        <v>107</v>
      </c>
      <c r="B30" t="s">
        <v>177</v>
      </c>
      <c r="C30" t="s">
        <v>172</v>
      </c>
      <c r="D30" t="s">
        <v>178</v>
      </c>
      <c r="E30" t="s">
        <v>178</v>
      </c>
      <c r="F30" t="s">
        <v>111</v>
      </c>
      <c r="G30">
        <v>37263</v>
      </c>
      <c r="H30" t="s">
        <v>112</v>
      </c>
      <c r="I30" t="s">
        <v>113</v>
      </c>
      <c r="J30" t="s">
        <v>114</v>
      </c>
      <c r="K30" t="s">
        <v>115</v>
      </c>
      <c r="L30">
        <v>-5436.48</v>
      </c>
      <c r="M30">
        <v>0</v>
      </c>
      <c r="O30" t="s">
        <v>116</v>
      </c>
      <c r="P30">
        <v>0</v>
      </c>
      <c r="Q30" t="s">
        <v>117</v>
      </c>
      <c r="R30" t="s">
        <v>118</v>
      </c>
      <c r="S30" t="str">
        <f>IFERROR(VLOOKUP(TRIM(J30),'VAT Validation'!A:B,2,FALSE),"")</f>
        <v>VALID</v>
      </c>
    </row>
    <row r="31" spans="1:19" x14ac:dyDescent="0.35">
      <c r="A31" t="s">
        <v>107</v>
      </c>
      <c r="B31" t="s">
        <v>179</v>
      </c>
      <c r="C31" t="s">
        <v>172</v>
      </c>
      <c r="D31" t="s">
        <v>178</v>
      </c>
      <c r="E31" t="s">
        <v>178</v>
      </c>
      <c r="F31" t="s">
        <v>111</v>
      </c>
      <c r="G31">
        <v>37263</v>
      </c>
      <c r="H31" t="s">
        <v>112</v>
      </c>
      <c r="I31" t="s">
        <v>113</v>
      </c>
      <c r="J31" t="s">
        <v>114</v>
      </c>
      <c r="K31" t="s">
        <v>115</v>
      </c>
      <c r="L31">
        <v>-1446</v>
      </c>
      <c r="M31">
        <v>0</v>
      </c>
      <c r="O31" t="s">
        <v>116</v>
      </c>
      <c r="P31">
        <v>0</v>
      </c>
      <c r="Q31" t="s">
        <v>117</v>
      </c>
      <c r="R31" t="s">
        <v>118</v>
      </c>
      <c r="S31" t="str">
        <f>IFERROR(VLOOKUP(TRIM(J31),'VAT Validation'!A:B,2,FALSE),"")</f>
        <v>VALID</v>
      </c>
    </row>
    <row r="32" spans="1:19" x14ac:dyDescent="0.35">
      <c r="A32" t="s">
        <v>107</v>
      </c>
      <c r="B32" t="s">
        <v>180</v>
      </c>
      <c r="C32" t="s">
        <v>172</v>
      </c>
      <c r="D32" t="s">
        <v>178</v>
      </c>
      <c r="E32" t="s">
        <v>178</v>
      </c>
      <c r="F32" t="s">
        <v>111</v>
      </c>
      <c r="G32">
        <v>37263</v>
      </c>
      <c r="H32" t="s">
        <v>112</v>
      </c>
      <c r="I32" t="s">
        <v>113</v>
      </c>
      <c r="J32" t="s">
        <v>114</v>
      </c>
      <c r="K32" t="s">
        <v>115</v>
      </c>
      <c r="L32">
        <v>-13375.5</v>
      </c>
      <c r="M32">
        <v>0</v>
      </c>
      <c r="O32" t="s">
        <v>116</v>
      </c>
      <c r="P32">
        <v>0</v>
      </c>
      <c r="Q32" t="s">
        <v>117</v>
      </c>
      <c r="R32" t="s">
        <v>118</v>
      </c>
      <c r="S32" t="str">
        <f>IFERROR(VLOOKUP(TRIM(J32),'VAT Validation'!A:B,2,FALSE),"")</f>
        <v>VALID</v>
      </c>
    </row>
    <row r="33" spans="1:19" x14ac:dyDescent="0.35">
      <c r="A33" t="s">
        <v>107</v>
      </c>
      <c r="B33" t="s">
        <v>181</v>
      </c>
      <c r="C33" t="s">
        <v>178</v>
      </c>
      <c r="D33" t="s">
        <v>178</v>
      </c>
      <c r="E33" t="s">
        <v>178</v>
      </c>
      <c r="F33" t="s">
        <v>111</v>
      </c>
      <c r="G33">
        <v>37263</v>
      </c>
      <c r="H33" t="s">
        <v>112</v>
      </c>
      <c r="I33" t="s">
        <v>113</v>
      </c>
      <c r="J33" t="s">
        <v>114</v>
      </c>
      <c r="K33" t="s">
        <v>115</v>
      </c>
      <c r="L33">
        <v>-5797.98</v>
      </c>
      <c r="M33">
        <v>0</v>
      </c>
      <c r="O33" t="s">
        <v>116</v>
      </c>
      <c r="P33">
        <v>0</v>
      </c>
      <c r="Q33" t="s">
        <v>117</v>
      </c>
      <c r="R33" t="s">
        <v>118</v>
      </c>
      <c r="S33" t="str">
        <f>IFERROR(VLOOKUP(TRIM(J33),'VAT Validation'!A:B,2,FALSE),"")</f>
        <v>VALID</v>
      </c>
    </row>
    <row r="34" spans="1:19" x14ac:dyDescent="0.35">
      <c r="A34" t="s">
        <v>107</v>
      </c>
      <c r="B34" t="s">
        <v>182</v>
      </c>
      <c r="C34" t="s">
        <v>183</v>
      </c>
      <c r="D34" t="s">
        <v>183</v>
      </c>
      <c r="E34" t="s">
        <v>183</v>
      </c>
      <c r="F34" t="s">
        <v>111</v>
      </c>
      <c r="G34">
        <v>37263</v>
      </c>
      <c r="H34" t="s">
        <v>112</v>
      </c>
      <c r="I34" t="s">
        <v>113</v>
      </c>
      <c r="J34" t="s">
        <v>114</v>
      </c>
      <c r="K34" t="s">
        <v>115</v>
      </c>
      <c r="L34">
        <v>-1446</v>
      </c>
      <c r="M34">
        <v>0</v>
      </c>
      <c r="O34" t="s">
        <v>116</v>
      </c>
      <c r="P34">
        <v>0</v>
      </c>
      <c r="Q34" t="s">
        <v>117</v>
      </c>
      <c r="R34" t="s">
        <v>118</v>
      </c>
      <c r="S34" t="str">
        <f>IFERROR(VLOOKUP(TRIM(J34),'VAT Validation'!A:B,2,FALSE),"")</f>
        <v>VALID</v>
      </c>
    </row>
    <row r="35" spans="1:19" x14ac:dyDescent="0.35">
      <c r="A35" t="s">
        <v>107</v>
      </c>
      <c r="B35" t="s">
        <v>184</v>
      </c>
      <c r="C35" t="s">
        <v>183</v>
      </c>
      <c r="D35" t="s">
        <v>183</v>
      </c>
      <c r="E35" t="s">
        <v>178</v>
      </c>
      <c r="F35" t="s">
        <v>111</v>
      </c>
      <c r="G35">
        <v>37263</v>
      </c>
      <c r="H35" t="s">
        <v>112</v>
      </c>
      <c r="I35" t="s">
        <v>113</v>
      </c>
      <c r="J35" t="s">
        <v>114</v>
      </c>
      <c r="K35" t="s">
        <v>115</v>
      </c>
      <c r="L35">
        <v>-3990.48</v>
      </c>
      <c r="M35">
        <v>0</v>
      </c>
      <c r="O35" t="s">
        <v>116</v>
      </c>
      <c r="P35">
        <v>0</v>
      </c>
      <c r="Q35" t="s">
        <v>117</v>
      </c>
      <c r="R35" t="s">
        <v>118</v>
      </c>
      <c r="S35" t="str">
        <f>IFERROR(VLOOKUP(TRIM(J35),'VAT Validation'!A:B,2,FALSE),"")</f>
        <v>VALID</v>
      </c>
    </row>
    <row r="36" spans="1:19" x14ac:dyDescent="0.35">
      <c r="A36" t="s">
        <v>107</v>
      </c>
      <c r="B36" t="s">
        <v>185</v>
      </c>
      <c r="C36" t="s">
        <v>183</v>
      </c>
      <c r="D36" t="s">
        <v>183</v>
      </c>
      <c r="E36" t="s">
        <v>186</v>
      </c>
      <c r="F36" t="s">
        <v>111</v>
      </c>
      <c r="G36">
        <v>37263</v>
      </c>
      <c r="H36" t="s">
        <v>112</v>
      </c>
      <c r="I36" t="s">
        <v>113</v>
      </c>
      <c r="J36" t="s">
        <v>114</v>
      </c>
      <c r="K36" t="s">
        <v>115</v>
      </c>
      <c r="L36">
        <v>-21356.46</v>
      </c>
      <c r="M36">
        <v>0</v>
      </c>
      <c r="O36" t="s">
        <v>116</v>
      </c>
      <c r="P36">
        <v>0</v>
      </c>
      <c r="Q36" t="s">
        <v>117</v>
      </c>
      <c r="R36" t="s">
        <v>118</v>
      </c>
      <c r="S36" t="str">
        <f>IFERROR(VLOOKUP(TRIM(J36),'VAT Validation'!A:B,2,FALSE),"")</f>
        <v>VALID</v>
      </c>
    </row>
    <row r="37" spans="1:19" x14ac:dyDescent="0.35">
      <c r="A37" t="s">
        <v>107</v>
      </c>
      <c r="B37" t="s">
        <v>187</v>
      </c>
      <c r="C37" t="s">
        <v>188</v>
      </c>
      <c r="D37" t="s">
        <v>188</v>
      </c>
      <c r="E37" t="s">
        <v>188</v>
      </c>
      <c r="F37" t="s">
        <v>111</v>
      </c>
      <c r="G37">
        <v>37263</v>
      </c>
      <c r="H37" t="s">
        <v>112</v>
      </c>
      <c r="I37" t="s">
        <v>113</v>
      </c>
      <c r="J37" t="s">
        <v>114</v>
      </c>
      <c r="K37" t="s">
        <v>115</v>
      </c>
      <c r="L37">
        <v>-13375.5</v>
      </c>
      <c r="M37">
        <v>0</v>
      </c>
      <c r="O37" t="s">
        <v>116</v>
      </c>
      <c r="P37">
        <v>0</v>
      </c>
      <c r="Q37" t="s">
        <v>117</v>
      </c>
      <c r="R37" t="s">
        <v>118</v>
      </c>
      <c r="S37" t="str">
        <f>IFERROR(VLOOKUP(TRIM(J37),'VAT Validation'!A:B,2,FALSE),"")</f>
        <v>VALID</v>
      </c>
    </row>
    <row r="38" spans="1:19" x14ac:dyDescent="0.35">
      <c r="A38" t="s">
        <v>107</v>
      </c>
      <c r="B38" t="s">
        <v>189</v>
      </c>
      <c r="C38" t="s">
        <v>188</v>
      </c>
      <c r="D38" t="s">
        <v>188</v>
      </c>
      <c r="E38" t="s">
        <v>183</v>
      </c>
      <c r="F38" t="s">
        <v>111</v>
      </c>
      <c r="G38">
        <v>37263</v>
      </c>
      <c r="H38" t="s">
        <v>112</v>
      </c>
      <c r="I38" t="s">
        <v>113</v>
      </c>
      <c r="J38" t="s">
        <v>114</v>
      </c>
      <c r="K38" t="s">
        <v>115</v>
      </c>
      <c r="L38">
        <v>-7980.96</v>
      </c>
      <c r="M38">
        <v>0</v>
      </c>
      <c r="O38" t="s">
        <v>116</v>
      </c>
      <c r="P38">
        <v>0</v>
      </c>
      <c r="Q38" t="s">
        <v>117</v>
      </c>
      <c r="R38" t="s">
        <v>118</v>
      </c>
      <c r="S38" t="str">
        <f>IFERROR(VLOOKUP(TRIM(J38),'VAT Validation'!A:B,2,FALSE),"")</f>
        <v>VALID</v>
      </c>
    </row>
    <row r="39" spans="1:19" x14ac:dyDescent="0.35">
      <c r="A39" t="s">
        <v>107</v>
      </c>
      <c r="B39" t="s">
        <v>190</v>
      </c>
      <c r="C39" t="s">
        <v>188</v>
      </c>
      <c r="D39" t="s">
        <v>188</v>
      </c>
      <c r="E39" t="s">
        <v>191</v>
      </c>
      <c r="F39" t="s">
        <v>111</v>
      </c>
      <c r="G39">
        <v>37263</v>
      </c>
      <c r="H39" t="s">
        <v>112</v>
      </c>
      <c r="I39" t="s">
        <v>113</v>
      </c>
      <c r="J39" t="s">
        <v>114</v>
      </c>
      <c r="K39" t="s">
        <v>115</v>
      </c>
      <c r="L39">
        <v>-3990.48</v>
      </c>
      <c r="M39">
        <v>0</v>
      </c>
      <c r="O39" t="s">
        <v>116</v>
      </c>
      <c r="P39">
        <v>0</v>
      </c>
      <c r="Q39" t="s">
        <v>117</v>
      </c>
      <c r="R39" t="s">
        <v>118</v>
      </c>
      <c r="S39" t="str">
        <f>IFERROR(VLOOKUP(TRIM(J39),'VAT Validation'!A:B,2,FALSE),"")</f>
        <v>VALID</v>
      </c>
    </row>
    <row r="40" spans="1:19" x14ac:dyDescent="0.35">
      <c r="A40" t="s">
        <v>107</v>
      </c>
      <c r="B40" t="s">
        <v>192</v>
      </c>
      <c r="C40" t="s">
        <v>188</v>
      </c>
      <c r="D40" t="s">
        <v>188</v>
      </c>
      <c r="E40" t="s">
        <v>188</v>
      </c>
      <c r="F40" t="s">
        <v>111</v>
      </c>
      <c r="G40">
        <v>37263</v>
      </c>
      <c r="H40" t="s">
        <v>112</v>
      </c>
      <c r="I40" t="s">
        <v>113</v>
      </c>
      <c r="J40" t="s">
        <v>114</v>
      </c>
      <c r="K40" t="s">
        <v>115</v>
      </c>
      <c r="L40">
        <v>-15348</v>
      </c>
      <c r="M40">
        <v>0</v>
      </c>
      <c r="O40" t="s">
        <v>116</v>
      </c>
      <c r="P40">
        <v>0</v>
      </c>
      <c r="Q40" t="s">
        <v>117</v>
      </c>
      <c r="R40" t="s">
        <v>118</v>
      </c>
      <c r="S40" t="str">
        <f>IFERROR(VLOOKUP(TRIM(J40),'VAT Validation'!A:B,2,FALSE),"")</f>
        <v>VALID</v>
      </c>
    </row>
    <row r="41" spans="1:19" x14ac:dyDescent="0.35">
      <c r="A41" t="s">
        <v>107</v>
      </c>
      <c r="B41" t="s">
        <v>193</v>
      </c>
      <c r="C41" t="s">
        <v>188</v>
      </c>
      <c r="D41" t="s">
        <v>188</v>
      </c>
      <c r="E41" t="s">
        <v>191</v>
      </c>
      <c r="F41" t="s">
        <v>111</v>
      </c>
      <c r="G41">
        <v>37263</v>
      </c>
      <c r="H41" t="s">
        <v>112</v>
      </c>
      <c r="I41" t="s">
        <v>113</v>
      </c>
      <c r="J41" t="s">
        <v>114</v>
      </c>
      <c r="K41" t="s">
        <v>115</v>
      </c>
      <c r="L41">
        <v>-5436.48</v>
      </c>
      <c r="M41">
        <v>0</v>
      </c>
      <c r="O41" t="s">
        <v>116</v>
      </c>
      <c r="P41">
        <v>0</v>
      </c>
      <c r="Q41" t="s">
        <v>117</v>
      </c>
      <c r="R41" t="s">
        <v>118</v>
      </c>
      <c r="S41" t="str">
        <f>IFERROR(VLOOKUP(TRIM(J41),'VAT Validation'!A:B,2,FALSE),"")</f>
        <v>VALID</v>
      </c>
    </row>
    <row r="42" spans="1:19" x14ac:dyDescent="0.35">
      <c r="A42" t="s">
        <v>107</v>
      </c>
      <c r="B42" t="s">
        <v>194</v>
      </c>
      <c r="C42" t="s">
        <v>195</v>
      </c>
      <c r="D42" t="s">
        <v>195</v>
      </c>
      <c r="E42" t="s">
        <v>195</v>
      </c>
      <c r="F42" t="s">
        <v>111</v>
      </c>
      <c r="G42">
        <v>37263</v>
      </c>
      <c r="H42" t="s">
        <v>112</v>
      </c>
      <c r="I42" t="s">
        <v>113</v>
      </c>
      <c r="J42" t="s">
        <v>114</v>
      </c>
      <c r="K42" t="s">
        <v>115</v>
      </c>
      <c r="L42">
        <v>-9181.39</v>
      </c>
      <c r="M42">
        <v>0</v>
      </c>
      <c r="O42" t="s">
        <v>116</v>
      </c>
      <c r="P42">
        <v>0</v>
      </c>
      <c r="Q42" t="s">
        <v>117</v>
      </c>
      <c r="R42" t="s">
        <v>118</v>
      </c>
      <c r="S42" t="str">
        <f>IFERROR(VLOOKUP(TRIM(J42),'VAT Validation'!A:B,2,FALSE),"")</f>
        <v>VALID</v>
      </c>
    </row>
    <row r="43" spans="1:19" x14ac:dyDescent="0.35">
      <c r="A43" t="s">
        <v>107</v>
      </c>
      <c r="B43" t="s">
        <v>196</v>
      </c>
      <c r="C43" t="s">
        <v>197</v>
      </c>
      <c r="D43" t="s">
        <v>197</v>
      </c>
      <c r="E43" t="s">
        <v>197</v>
      </c>
      <c r="F43" t="s">
        <v>111</v>
      </c>
      <c r="G43">
        <v>37263</v>
      </c>
      <c r="H43" t="s">
        <v>112</v>
      </c>
      <c r="I43" t="s">
        <v>113</v>
      </c>
      <c r="J43" t="s">
        <v>114</v>
      </c>
      <c r="K43" t="s">
        <v>115</v>
      </c>
      <c r="L43">
        <v>-13737</v>
      </c>
      <c r="M43">
        <v>0</v>
      </c>
      <c r="O43" t="s">
        <v>116</v>
      </c>
      <c r="P43">
        <v>0</v>
      </c>
      <c r="Q43" t="s">
        <v>117</v>
      </c>
      <c r="R43" t="s">
        <v>118</v>
      </c>
      <c r="S43" t="str">
        <f>IFERROR(VLOOKUP(TRIM(J43),'VAT Validation'!A:B,2,FALSE),"")</f>
        <v>VALID</v>
      </c>
    </row>
    <row r="44" spans="1:19" x14ac:dyDescent="0.35">
      <c r="A44" t="s">
        <v>107</v>
      </c>
      <c r="B44" t="s">
        <v>198</v>
      </c>
      <c r="C44" t="s">
        <v>199</v>
      </c>
      <c r="D44" t="s">
        <v>199</v>
      </c>
      <c r="E44" t="s">
        <v>199</v>
      </c>
      <c r="F44" t="s">
        <v>111</v>
      </c>
      <c r="G44">
        <v>37263</v>
      </c>
      <c r="H44" t="s">
        <v>112</v>
      </c>
      <c r="I44" t="s">
        <v>113</v>
      </c>
      <c r="J44" t="s">
        <v>114</v>
      </c>
      <c r="K44" t="s">
        <v>115</v>
      </c>
      <c r="L44">
        <v>-2169</v>
      </c>
      <c r="M44">
        <v>0</v>
      </c>
      <c r="O44" t="s">
        <v>116</v>
      </c>
      <c r="P44">
        <v>0</v>
      </c>
      <c r="Q44" t="s">
        <v>117</v>
      </c>
      <c r="R44" t="s">
        <v>118</v>
      </c>
      <c r="S44" t="str">
        <f>IFERROR(VLOOKUP(TRIM(J44),'VAT Validation'!A:B,2,FALSE),"")</f>
        <v>VALID</v>
      </c>
    </row>
    <row r="45" spans="1:19" x14ac:dyDescent="0.35">
      <c r="A45" t="s">
        <v>107</v>
      </c>
      <c r="B45" t="s">
        <v>200</v>
      </c>
      <c r="C45" t="s">
        <v>201</v>
      </c>
      <c r="D45" t="s">
        <v>201</v>
      </c>
      <c r="E45" t="s">
        <v>201</v>
      </c>
      <c r="F45" t="s">
        <v>111</v>
      </c>
      <c r="G45">
        <v>37263</v>
      </c>
      <c r="H45" t="s">
        <v>112</v>
      </c>
      <c r="I45" t="s">
        <v>113</v>
      </c>
      <c r="J45" t="s">
        <v>114</v>
      </c>
      <c r="K45" t="s">
        <v>115</v>
      </c>
      <c r="L45">
        <v>-12652.5</v>
      </c>
      <c r="M45">
        <v>0</v>
      </c>
      <c r="O45" t="s">
        <v>116</v>
      </c>
      <c r="P45">
        <v>0</v>
      </c>
      <c r="Q45" t="s">
        <v>117</v>
      </c>
      <c r="R45" t="s">
        <v>118</v>
      </c>
      <c r="S45" t="str">
        <f>IFERROR(VLOOKUP(TRIM(J45),'VAT Validation'!A:B,2,FALSE),"")</f>
        <v>VALID</v>
      </c>
    </row>
    <row r="46" spans="1:19" x14ac:dyDescent="0.35">
      <c r="A46" t="s">
        <v>107</v>
      </c>
      <c r="B46" t="s">
        <v>202</v>
      </c>
      <c r="C46" t="s">
        <v>201</v>
      </c>
      <c r="D46" t="s">
        <v>201</v>
      </c>
      <c r="E46" t="s">
        <v>197</v>
      </c>
      <c r="F46" t="s">
        <v>111</v>
      </c>
      <c r="G46">
        <v>37263</v>
      </c>
      <c r="H46" t="s">
        <v>112</v>
      </c>
      <c r="I46" t="s">
        <v>113</v>
      </c>
      <c r="J46" t="s">
        <v>114</v>
      </c>
      <c r="K46" t="s">
        <v>115</v>
      </c>
      <c r="L46">
        <v>-11971.44</v>
      </c>
      <c r="M46">
        <v>0</v>
      </c>
      <c r="O46" t="s">
        <v>116</v>
      </c>
      <c r="P46">
        <v>0</v>
      </c>
      <c r="Q46" t="s">
        <v>117</v>
      </c>
      <c r="R46" t="s">
        <v>118</v>
      </c>
      <c r="S46" t="str">
        <f>IFERROR(VLOOKUP(TRIM(J46),'VAT Validation'!A:B,2,FALSE),"")</f>
        <v>VALID</v>
      </c>
    </row>
    <row r="47" spans="1:19" x14ac:dyDescent="0.35">
      <c r="A47" t="s">
        <v>107</v>
      </c>
      <c r="B47" t="s">
        <v>203</v>
      </c>
      <c r="C47" t="s">
        <v>204</v>
      </c>
      <c r="D47" t="s">
        <v>204</v>
      </c>
      <c r="E47" t="s">
        <v>204</v>
      </c>
      <c r="F47" t="s">
        <v>111</v>
      </c>
      <c r="G47">
        <v>37263</v>
      </c>
      <c r="H47" t="s">
        <v>112</v>
      </c>
      <c r="I47" t="s">
        <v>113</v>
      </c>
      <c r="J47" t="s">
        <v>114</v>
      </c>
      <c r="K47" t="s">
        <v>115</v>
      </c>
      <c r="L47">
        <v>-1446</v>
      </c>
      <c r="M47">
        <v>0</v>
      </c>
      <c r="O47" t="s">
        <v>116</v>
      </c>
      <c r="P47">
        <v>0</v>
      </c>
      <c r="Q47" t="s">
        <v>117</v>
      </c>
      <c r="R47" t="s">
        <v>118</v>
      </c>
      <c r="S47" t="str">
        <f>IFERROR(VLOOKUP(TRIM(J47),'VAT Validation'!A:B,2,FALSE),"")</f>
        <v>VALID</v>
      </c>
    </row>
    <row r="48" spans="1:19" x14ac:dyDescent="0.35">
      <c r="A48" t="s">
        <v>107</v>
      </c>
      <c r="B48" t="s">
        <v>205</v>
      </c>
      <c r="C48" t="s">
        <v>204</v>
      </c>
      <c r="D48" t="s">
        <v>204</v>
      </c>
      <c r="E48" t="s">
        <v>206</v>
      </c>
      <c r="F48" t="s">
        <v>111</v>
      </c>
      <c r="G48">
        <v>37263</v>
      </c>
      <c r="H48" t="s">
        <v>112</v>
      </c>
      <c r="I48" t="s">
        <v>113</v>
      </c>
      <c r="J48" t="s">
        <v>114</v>
      </c>
      <c r="K48" t="s">
        <v>115</v>
      </c>
      <c r="L48">
        <v>-6159.48</v>
      </c>
      <c r="M48">
        <v>0</v>
      </c>
      <c r="O48" t="s">
        <v>116</v>
      </c>
      <c r="P48">
        <v>0</v>
      </c>
      <c r="Q48" t="s">
        <v>117</v>
      </c>
      <c r="R48" t="s">
        <v>118</v>
      </c>
      <c r="S48" t="str">
        <f>IFERROR(VLOOKUP(TRIM(J48),'VAT Validation'!A:B,2,FALSE),"")</f>
        <v>VALID</v>
      </c>
    </row>
    <row r="49" spans="1:19" x14ac:dyDescent="0.35">
      <c r="A49" t="s">
        <v>107</v>
      </c>
      <c r="B49" t="s">
        <v>207</v>
      </c>
      <c r="C49" t="s">
        <v>208</v>
      </c>
      <c r="D49" t="s">
        <v>208</v>
      </c>
      <c r="E49" t="s">
        <v>208</v>
      </c>
      <c r="F49" t="s">
        <v>111</v>
      </c>
      <c r="G49">
        <v>37263</v>
      </c>
      <c r="H49" t="s">
        <v>112</v>
      </c>
      <c r="I49" t="s">
        <v>113</v>
      </c>
      <c r="J49" t="s">
        <v>114</v>
      </c>
      <c r="K49" t="s">
        <v>115</v>
      </c>
      <c r="L49">
        <v>-13014</v>
      </c>
      <c r="M49">
        <v>0</v>
      </c>
      <c r="O49" t="s">
        <v>116</v>
      </c>
      <c r="P49">
        <v>0</v>
      </c>
      <c r="Q49" t="s">
        <v>117</v>
      </c>
      <c r="R49" t="s">
        <v>118</v>
      </c>
      <c r="S49" t="str">
        <f>IFERROR(VLOOKUP(TRIM(J49),'VAT Validation'!A:B,2,FALSE),"")</f>
        <v>VALID</v>
      </c>
    </row>
    <row r="50" spans="1:19" x14ac:dyDescent="0.35">
      <c r="A50" t="s">
        <v>107</v>
      </c>
      <c r="B50" t="s">
        <v>209</v>
      </c>
      <c r="C50" t="s">
        <v>210</v>
      </c>
      <c r="D50" t="s">
        <v>210</v>
      </c>
      <c r="E50" t="s">
        <v>210</v>
      </c>
      <c r="F50" t="s">
        <v>111</v>
      </c>
      <c r="G50">
        <v>37263</v>
      </c>
      <c r="H50" t="s">
        <v>112</v>
      </c>
      <c r="I50" t="s">
        <v>113</v>
      </c>
      <c r="J50" t="s">
        <v>114</v>
      </c>
      <c r="K50" t="s">
        <v>115</v>
      </c>
      <c r="L50">
        <v>-1084.5</v>
      </c>
      <c r="M50">
        <v>0</v>
      </c>
      <c r="O50" t="s">
        <v>116</v>
      </c>
      <c r="P50">
        <v>0</v>
      </c>
      <c r="Q50" t="s">
        <v>117</v>
      </c>
      <c r="R50" t="s">
        <v>118</v>
      </c>
      <c r="S50" t="str">
        <f>IFERROR(VLOOKUP(TRIM(J50),'VAT Validation'!A:B,2,FALSE),"")</f>
        <v>VALID</v>
      </c>
    </row>
    <row r="51" spans="1:19" x14ac:dyDescent="0.35">
      <c r="A51" t="s">
        <v>107</v>
      </c>
      <c r="B51" t="s">
        <v>216</v>
      </c>
      <c r="C51" t="s">
        <v>217</v>
      </c>
      <c r="D51" t="s">
        <v>217</v>
      </c>
      <c r="E51" t="s">
        <v>218</v>
      </c>
      <c r="F51" t="s">
        <v>219</v>
      </c>
      <c r="G51">
        <v>37263</v>
      </c>
      <c r="H51" t="s">
        <v>112</v>
      </c>
      <c r="I51" t="s">
        <v>113</v>
      </c>
      <c r="J51" t="s">
        <v>114</v>
      </c>
      <c r="K51" t="s">
        <v>115</v>
      </c>
      <c r="L51">
        <v>-1446</v>
      </c>
      <c r="M51">
        <v>0</v>
      </c>
      <c r="O51" t="s">
        <v>116</v>
      </c>
      <c r="P51">
        <v>0</v>
      </c>
      <c r="Q51" t="s">
        <v>117</v>
      </c>
      <c r="R51" t="s">
        <v>118</v>
      </c>
      <c r="S51" t="str">
        <f>IFERROR(VLOOKUP(TRIM(J51),'VAT Validation'!A:B,2,FALSE),"")</f>
        <v>VALID</v>
      </c>
    </row>
    <row r="52" spans="1:19" x14ac:dyDescent="0.35">
      <c r="A52" t="s">
        <v>107</v>
      </c>
      <c r="B52" t="s">
        <v>220</v>
      </c>
      <c r="C52" t="s">
        <v>217</v>
      </c>
      <c r="D52" t="s">
        <v>217</v>
      </c>
      <c r="E52" t="s">
        <v>218</v>
      </c>
      <c r="F52" t="s">
        <v>219</v>
      </c>
      <c r="G52">
        <v>37263</v>
      </c>
      <c r="H52" t="s">
        <v>112</v>
      </c>
      <c r="I52" t="s">
        <v>113</v>
      </c>
      <c r="J52" t="s">
        <v>114</v>
      </c>
      <c r="K52" t="s">
        <v>115</v>
      </c>
      <c r="L52">
        <v>-3806.3</v>
      </c>
      <c r="M52">
        <v>0</v>
      </c>
      <c r="O52" t="s">
        <v>116</v>
      </c>
      <c r="P52">
        <v>0</v>
      </c>
      <c r="Q52" t="s">
        <v>117</v>
      </c>
      <c r="R52" t="s">
        <v>118</v>
      </c>
      <c r="S52" t="str">
        <f>IFERROR(VLOOKUP(TRIM(J52),'VAT Validation'!A:B,2,FALSE),"")</f>
        <v>VALID</v>
      </c>
    </row>
    <row r="53" spans="1:19" x14ac:dyDescent="0.35">
      <c r="A53" t="s">
        <v>107</v>
      </c>
      <c r="B53" t="s">
        <v>221</v>
      </c>
      <c r="C53" t="s">
        <v>222</v>
      </c>
      <c r="D53" t="s">
        <v>222</v>
      </c>
      <c r="E53" t="s">
        <v>218</v>
      </c>
      <c r="F53" t="s">
        <v>219</v>
      </c>
      <c r="G53">
        <v>37263</v>
      </c>
      <c r="H53" t="s">
        <v>112</v>
      </c>
      <c r="I53" t="s">
        <v>113</v>
      </c>
      <c r="J53" t="s">
        <v>114</v>
      </c>
      <c r="K53" t="s">
        <v>115</v>
      </c>
      <c r="L53">
        <v>-361.5</v>
      </c>
      <c r="M53">
        <v>0</v>
      </c>
      <c r="O53" t="s">
        <v>116</v>
      </c>
      <c r="P53">
        <v>0</v>
      </c>
      <c r="Q53" t="s">
        <v>117</v>
      </c>
      <c r="R53" t="s">
        <v>118</v>
      </c>
      <c r="S53" t="str">
        <f>IFERROR(VLOOKUP(TRIM(J53),'VAT Validation'!A:B,2,FALSE),"")</f>
        <v>VALID</v>
      </c>
    </row>
    <row r="54" spans="1:19" x14ac:dyDescent="0.35">
      <c r="A54" t="s">
        <v>107</v>
      </c>
      <c r="B54" t="s">
        <v>223</v>
      </c>
      <c r="C54" t="s">
        <v>224</v>
      </c>
      <c r="D54" t="s">
        <v>224</v>
      </c>
      <c r="E54" t="s">
        <v>218</v>
      </c>
      <c r="F54" t="s">
        <v>219</v>
      </c>
      <c r="G54">
        <v>37263</v>
      </c>
      <c r="H54" t="s">
        <v>112</v>
      </c>
      <c r="I54" t="s">
        <v>113</v>
      </c>
      <c r="J54" t="s">
        <v>114</v>
      </c>
      <c r="K54" t="s">
        <v>115</v>
      </c>
      <c r="L54">
        <v>-1084.5</v>
      </c>
      <c r="M54">
        <v>0</v>
      </c>
      <c r="O54" t="s">
        <v>116</v>
      </c>
      <c r="P54">
        <v>0</v>
      </c>
      <c r="Q54" t="s">
        <v>117</v>
      </c>
      <c r="R54" t="s">
        <v>118</v>
      </c>
      <c r="S54" t="str">
        <f>IFERROR(VLOOKUP(TRIM(J54),'VAT Validation'!A:B,2,FALSE),"")</f>
        <v>VALID</v>
      </c>
    </row>
    <row r="55" spans="1:19" x14ac:dyDescent="0.35">
      <c r="A55" t="s">
        <v>107</v>
      </c>
      <c r="B55" t="s">
        <v>225</v>
      </c>
      <c r="C55" t="s">
        <v>226</v>
      </c>
      <c r="D55" t="s">
        <v>226</v>
      </c>
      <c r="E55" t="s">
        <v>218</v>
      </c>
      <c r="F55" t="s">
        <v>219</v>
      </c>
      <c r="G55">
        <v>37263</v>
      </c>
      <c r="H55" t="s">
        <v>112</v>
      </c>
      <c r="I55" t="s">
        <v>113</v>
      </c>
      <c r="J55" t="s">
        <v>114</v>
      </c>
      <c r="K55" t="s">
        <v>115</v>
      </c>
      <c r="L55">
        <v>-7980.96</v>
      </c>
      <c r="M55">
        <v>0</v>
      </c>
      <c r="O55" t="s">
        <v>116</v>
      </c>
      <c r="P55">
        <v>0</v>
      </c>
      <c r="Q55" t="s">
        <v>117</v>
      </c>
      <c r="R55" t="s">
        <v>118</v>
      </c>
      <c r="S55" t="str">
        <f>IFERROR(VLOOKUP(TRIM(J55),'VAT Validation'!A:B,2,FALSE),"")</f>
        <v>VALID</v>
      </c>
    </row>
    <row r="56" spans="1:19" x14ac:dyDescent="0.35">
      <c r="A56" t="s">
        <v>107</v>
      </c>
      <c r="B56" t="s">
        <v>227</v>
      </c>
      <c r="C56" t="s">
        <v>228</v>
      </c>
      <c r="D56" t="s">
        <v>228</v>
      </c>
      <c r="E56" t="s">
        <v>218</v>
      </c>
      <c r="F56" t="s">
        <v>219</v>
      </c>
      <c r="G56">
        <v>37263</v>
      </c>
      <c r="H56" t="s">
        <v>112</v>
      </c>
      <c r="I56" t="s">
        <v>113</v>
      </c>
      <c r="J56" t="s">
        <v>114</v>
      </c>
      <c r="K56" t="s">
        <v>115</v>
      </c>
      <c r="L56">
        <v>-361.5</v>
      </c>
      <c r="M56">
        <v>0</v>
      </c>
      <c r="O56" t="s">
        <v>116</v>
      </c>
      <c r="P56">
        <v>0</v>
      </c>
      <c r="Q56" t="s">
        <v>117</v>
      </c>
      <c r="R56" t="s">
        <v>118</v>
      </c>
      <c r="S56" t="str">
        <f>IFERROR(VLOOKUP(TRIM(J56),'VAT Validation'!A:B,2,FALSE),"")</f>
        <v>VALID</v>
      </c>
    </row>
    <row r="57" spans="1:19" x14ac:dyDescent="0.35">
      <c r="A57" t="s">
        <v>107</v>
      </c>
      <c r="B57" t="s">
        <v>229</v>
      </c>
      <c r="C57" t="s">
        <v>217</v>
      </c>
      <c r="D57" t="s">
        <v>217</v>
      </c>
      <c r="E57" t="s">
        <v>218</v>
      </c>
      <c r="F57" t="s">
        <v>219</v>
      </c>
      <c r="G57">
        <v>37263</v>
      </c>
      <c r="H57" t="s">
        <v>112</v>
      </c>
      <c r="I57" t="s">
        <v>113</v>
      </c>
      <c r="J57" t="s">
        <v>114</v>
      </c>
      <c r="K57" t="s">
        <v>115</v>
      </c>
      <c r="L57">
        <v>-7980.96</v>
      </c>
      <c r="M57">
        <v>0</v>
      </c>
      <c r="O57" t="s">
        <v>116</v>
      </c>
      <c r="P57">
        <v>0</v>
      </c>
      <c r="Q57" t="s">
        <v>117</v>
      </c>
      <c r="R57" t="s">
        <v>118</v>
      </c>
      <c r="S57" t="str">
        <f>IFERROR(VLOOKUP(TRIM(J57),'VAT Validation'!A:B,2,FALSE),"")</f>
        <v>VALID</v>
      </c>
    </row>
    <row r="58" spans="1:19" x14ac:dyDescent="0.35">
      <c r="A58" t="s">
        <v>107</v>
      </c>
      <c r="B58" t="s">
        <v>230</v>
      </c>
      <c r="C58" t="s">
        <v>231</v>
      </c>
      <c r="D58" t="s">
        <v>231</v>
      </c>
      <c r="E58" t="s">
        <v>218</v>
      </c>
      <c r="F58" t="s">
        <v>219</v>
      </c>
      <c r="G58">
        <v>37263</v>
      </c>
      <c r="H58" t="s">
        <v>112</v>
      </c>
      <c r="I58" t="s">
        <v>113</v>
      </c>
      <c r="J58" t="s">
        <v>114</v>
      </c>
      <c r="K58" t="s">
        <v>115</v>
      </c>
      <c r="L58">
        <v>-12652.5</v>
      </c>
      <c r="M58">
        <v>0</v>
      </c>
      <c r="O58" t="s">
        <v>116</v>
      </c>
      <c r="P58">
        <v>0</v>
      </c>
      <c r="Q58" t="s">
        <v>117</v>
      </c>
      <c r="R58" t="s">
        <v>118</v>
      </c>
      <c r="S58" t="str">
        <f>IFERROR(VLOOKUP(TRIM(J58),'VAT Validation'!A:B,2,FALSE),"")</f>
        <v>VALID</v>
      </c>
    </row>
    <row r="59" spans="1:19" x14ac:dyDescent="0.35">
      <c r="A59" t="s">
        <v>107</v>
      </c>
      <c r="B59" t="s">
        <v>232</v>
      </c>
      <c r="C59" t="s">
        <v>222</v>
      </c>
      <c r="D59" t="s">
        <v>222</v>
      </c>
      <c r="E59" t="s">
        <v>218</v>
      </c>
      <c r="F59" t="s">
        <v>219</v>
      </c>
      <c r="G59">
        <v>37263</v>
      </c>
      <c r="H59" t="s">
        <v>112</v>
      </c>
      <c r="I59" t="s">
        <v>113</v>
      </c>
      <c r="J59" t="s">
        <v>114</v>
      </c>
      <c r="K59" t="s">
        <v>115</v>
      </c>
      <c r="L59">
        <v>-13737</v>
      </c>
      <c r="M59">
        <v>0</v>
      </c>
      <c r="O59" t="s">
        <v>116</v>
      </c>
      <c r="P59">
        <v>0</v>
      </c>
      <c r="Q59" t="s">
        <v>117</v>
      </c>
      <c r="R59" t="s">
        <v>118</v>
      </c>
      <c r="S59" t="str">
        <f>IFERROR(VLOOKUP(TRIM(J59),'VAT Validation'!A:B,2,FALSE),"")</f>
        <v>VALID</v>
      </c>
    </row>
    <row r="60" spans="1:19" x14ac:dyDescent="0.35">
      <c r="A60" t="s">
        <v>107</v>
      </c>
      <c r="B60" t="s">
        <v>233</v>
      </c>
      <c r="C60" t="s">
        <v>226</v>
      </c>
      <c r="D60" t="s">
        <v>226</v>
      </c>
      <c r="E60" t="s">
        <v>218</v>
      </c>
      <c r="F60" t="s">
        <v>219</v>
      </c>
      <c r="G60">
        <v>37263</v>
      </c>
      <c r="H60" t="s">
        <v>112</v>
      </c>
      <c r="I60" t="s">
        <v>113</v>
      </c>
      <c r="J60" t="s">
        <v>114</v>
      </c>
      <c r="K60" t="s">
        <v>115</v>
      </c>
      <c r="L60">
        <v>-12291</v>
      </c>
      <c r="M60">
        <v>0</v>
      </c>
      <c r="O60" t="s">
        <v>116</v>
      </c>
      <c r="P60">
        <v>0</v>
      </c>
      <c r="Q60" t="s">
        <v>117</v>
      </c>
      <c r="R60" t="s">
        <v>118</v>
      </c>
      <c r="S60" t="str">
        <f>IFERROR(VLOOKUP(TRIM(J60),'VAT Validation'!A:B,2,FALSE),"")</f>
        <v>VALID</v>
      </c>
    </row>
    <row r="61" spans="1:19" x14ac:dyDescent="0.35">
      <c r="A61" t="s">
        <v>107</v>
      </c>
      <c r="B61" t="s">
        <v>234</v>
      </c>
      <c r="C61" t="s">
        <v>235</v>
      </c>
      <c r="D61" t="s">
        <v>235</v>
      </c>
      <c r="E61" t="s">
        <v>218</v>
      </c>
      <c r="F61" t="s">
        <v>219</v>
      </c>
      <c r="G61">
        <v>37263</v>
      </c>
      <c r="H61" t="s">
        <v>112</v>
      </c>
      <c r="I61" t="s">
        <v>113</v>
      </c>
      <c r="J61" t="s">
        <v>114</v>
      </c>
      <c r="K61" t="s">
        <v>115</v>
      </c>
      <c r="L61">
        <v>-723</v>
      </c>
      <c r="M61">
        <v>0</v>
      </c>
      <c r="O61" t="s">
        <v>116</v>
      </c>
      <c r="P61">
        <v>0</v>
      </c>
      <c r="Q61" t="s">
        <v>117</v>
      </c>
      <c r="R61" t="s">
        <v>118</v>
      </c>
      <c r="S61" t="str">
        <f>IFERROR(VLOOKUP(TRIM(J61),'VAT Validation'!A:B,2,FALSE),"")</f>
        <v>VALID</v>
      </c>
    </row>
    <row r="62" spans="1:19" x14ac:dyDescent="0.35">
      <c r="A62" t="s">
        <v>107</v>
      </c>
      <c r="B62" t="s">
        <v>236</v>
      </c>
      <c r="C62" t="s">
        <v>237</v>
      </c>
      <c r="D62" t="s">
        <v>237</v>
      </c>
      <c r="E62" t="s">
        <v>218</v>
      </c>
      <c r="F62" t="s">
        <v>219</v>
      </c>
      <c r="G62">
        <v>37263</v>
      </c>
      <c r="H62" t="s">
        <v>112</v>
      </c>
      <c r="I62" t="s">
        <v>113</v>
      </c>
      <c r="J62" t="s">
        <v>114</v>
      </c>
      <c r="K62" t="s">
        <v>115</v>
      </c>
      <c r="L62">
        <v>-1807.5</v>
      </c>
      <c r="M62">
        <v>0</v>
      </c>
      <c r="O62" t="s">
        <v>116</v>
      </c>
      <c r="P62">
        <v>0</v>
      </c>
      <c r="Q62" t="s">
        <v>117</v>
      </c>
      <c r="R62" t="s">
        <v>118</v>
      </c>
      <c r="S62" t="str">
        <f>IFERROR(VLOOKUP(TRIM(J62),'VAT Validation'!A:B,2,FALSE),"")</f>
        <v>VALID</v>
      </c>
    </row>
    <row r="63" spans="1:19" x14ac:dyDescent="0.35">
      <c r="A63" t="s">
        <v>107</v>
      </c>
      <c r="B63" t="s">
        <v>238</v>
      </c>
      <c r="C63" t="s">
        <v>239</v>
      </c>
      <c r="D63" t="s">
        <v>239</v>
      </c>
      <c r="E63" t="s">
        <v>218</v>
      </c>
      <c r="F63" t="s">
        <v>219</v>
      </c>
      <c r="G63">
        <v>37263</v>
      </c>
      <c r="H63" t="s">
        <v>112</v>
      </c>
      <c r="I63" t="s">
        <v>113</v>
      </c>
      <c r="J63" t="s">
        <v>114</v>
      </c>
      <c r="K63" t="s">
        <v>115</v>
      </c>
      <c r="L63">
        <v>-7980.96</v>
      </c>
      <c r="M63">
        <v>0</v>
      </c>
      <c r="O63" t="s">
        <v>116</v>
      </c>
      <c r="P63">
        <v>0</v>
      </c>
      <c r="Q63" t="s">
        <v>117</v>
      </c>
      <c r="R63" t="s">
        <v>118</v>
      </c>
      <c r="S63" t="str">
        <f>IFERROR(VLOOKUP(TRIM(J63),'VAT Validation'!A:B,2,FALSE),"")</f>
        <v>VALID</v>
      </c>
    </row>
    <row r="64" spans="1:19" x14ac:dyDescent="0.35">
      <c r="A64" t="s">
        <v>107</v>
      </c>
      <c r="B64" t="s">
        <v>245</v>
      </c>
      <c r="C64" t="s">
        <v>217</v>
      </c>
      <c r="D64" t="s">
        <v>217</v>
      </c>
      <c r="E64" t="s">
        <v>218</v>
      </c>
      <c r="F64" t="s">
        <v>219</v>
      </c>
      <c r="G64">
        <v>37263</v>
      </c>
      <c r="H64" t="s">
        <v>112</v>
      </c>
      <c r="I64" t="s">
        <v>113</v>
      </c>
      <c r="J64" t="s">
        <v>114</v>
      </c>
      <c r="K64" t="s">
        <v>115</v>
      </c>
      <c r="L64">
        <v>-7980.96</v>
      </c>
      <c r="M64">
        <v>0</v>
      </c>
      <c r="O64" t="s">
        <v>116</v>
      </c>
      <c r="P64">
        <v>0</v>
      </c>
      <c r="Q64" t="s">
        <v>117</v>
      </c>
      <c r="R64" t="s">
        <v>118</v>
      </c>
      <c r="S64" t="str">
        <f>IFERROR(VLOOKUP(TRIM(J64),'VAT Validation'!A:B,2,FALSE),"")</f>
        <v>VALID</v>
      </c>
    </row>
    <row r="65" spans="1:19" x14ac:dyDescent="0.35">
      <c r="A65" t="s">
        <v>107</v>
      </c>
      <c r="B65" t="s">
        <v>246</v>
      </c>
      <c r="C65" t="s">
        <v>247</v>
      </c>
      <c r="D65" t="s">
        <v>247</v>
      </c>
      <c r="E65" t="s">
        <v>218</v>
      </c>
      <c r="F65" t="s">
        <v>219</v>
      </c>
      <c r="G65">
        <v>37263</v>
      </c>
      <c r="H65" t="s">
        <v>112</v>
      </c>
      <c r="I65" t="s">
        <v>113</v>
      </c>
      <c r="J65" t="s">
        <v>114</v>
      </c>
      <c r="K65" t="s">
        <v>115</v>
      </c>
      <c r="L65">
        <v>-3929.09</v>
      </c>
      <c r="M65">
        <v>0</v>
      </c>
      <c r="O65" t="s">
        <v>116</v>
      </c>
      <c r="P65">
        <v>0</v>
      </c>
      <c r="Q65" t="s">
        <v>117</v>
      </c>
      <c r="R65" t="s">
        <v>118</v>
      </c>
      <c r="S65" t="str">
        <f>IFERROR(VLOOKUP(TRIM(J65),'VAT Validation'!A:B,2,FALSE),"")</f>
        <v>VALID</v>
      </c>
    </row>
    <row r="66" spans="1:19" x14ac:dyDescent="0.35">
      <c r="A66" t="s">
        <v>107</v>
      </c>
      <c r="B66" t="s">
        <v>248</v>
      </c>
      <c r="C66" t="s">
        <v>226</v>
      </c>
      <c r="D66" t="s">
        <v>226</v>
      </c>
      <c r="E66" t="s">
        <v>218</v>
      </c>
      <c r="F66" t="s">
        <v>219</v>
      </c>
      <c r="G66">
        <v>37263</v>
      </c>
      <c r="H66" t="s">
        <v>112</v>
      </c>
      <c r="I66" t="s">
        <v>113</v>
      </c>
      <c r="J66" t="s">
        <v>114</v>
      </c>
      <c r="K66" t="s">
        <v>115</v>
      </c>
      <c r="L66">
        <v>-7858.18</v>
      </c>
      <c r="M66">
        <v>0</v>
      </c>
      <c r="O66" t="s">
        <v>116</v>
      </c>
      <c r="P66">
        <v>0</v>
      </c>
      <c r="Q66" t="s">
        <v>117</v>
      </c>
      <c r="R66" t="s">
        <v>118</v>
      </c>
      <c r="S66" t="str">
        <f>IFERROR(VLOOKUP(TRIM(J66),'VAT Validation'!A:B,2,FALSE),"")</f>
        <v>VALID</v>
      </c>
    </row>
    <row r="67" spans="1:19" x14ac:dyDescent="0.35">
      <c r="A67" t="s">
        <v>107</v>
      </c>
      <c r="B67" t="s">
        <v>249</v>
      </c>
      <c r="C67" t="s">
        <v>250</v>
      </c>
      <c r="D67" t="s">
        <v>250</v>
      </c>
      <c r="G67">
        <v>11674</v>
      </c>
      <c r="H67" t="s">
        <v>143</v>
      </c>
      <c r="I67" t="s">
        <v>113</v>
      </c>
      <c r="J67" s="16"/>
      <c r="K67" t="s">
        <v>115</v>
      </c>
      <c r="L67">
        <v>-3710</v>
      </c>
      <c r="M67">
        <v>0</v>
      </c>
      <c r="O67" t="s">
        <v>116</v>
      </c>
      <c r="P67">
        <v>0</v>
      </c>
      <c r="Q67" t="s">
        <v>117</v>
      </c>
      <c r="R67" t="s">
        <v>118</v>
      </c>
      <c r="S67" t="str">
        <f>IFERROR(VLOOKUP(TRIM(J67),'VAT Validation'!A:B,2,FALSE),"")</f>
        <v/>
      </c>
    </row>
    <row r="68" spans="1:19" x14ac:dyDescent="0.35">
      <c r="A68" t="s">
        <v>107</v>
      </c>
      <c r="B68" t="s">
        <v>251</v>
      </c>
      <c r="C68" t="s">
        <v>239</v>
      </c>
      <c r="D68" t="s">
        <v>239</v>
      </c>
      <c r="E68" t="s">
        <v>218</v>
      </c>
      <c r="F68" t="s">
        <v>219</v>
      </c>
      <c r="G68">
        <v>37263</v>
      </c>
      <c r="H68" t="s">
        <v>112</v>
      </c>
      <c r="I68" t="s">
        <v>113</v>
      </c>
      <c r="J68" t="s">
        <v>114</v>
      </c>
      <c r="K68" t="s">
        <v>115</v>
      </c>
      <c r="L68">
        <v>-3990.48</v>
      </c>
      <c r="M68">
        <v>0</v>
      </c>
      <c r="O68" t="s">
        <v>116</v>
      </c>
      <c r="P68">
        <v>0</v>
      </c>
      <c r="Q68" t="s">
        <v>117</v>
      </c>
      <c r="R68" t="s">
        <v>118</v>
      </c>
      <c r="S68" t="str">
        <f>IFERROR(VLOOKUP(TRIM(J68),'VAT Validation'!A:B,2,FALSE),"")</f>
        <v>VALID</v>
      </c>
    </row>
    <row r="69" spans="1:19" x14ac:dyDescent="0.35">
      <c r="A69" t="s">
        <v>107</v>
      </c>
      <c r="B69" t="s">
        <v>258</v>
      </c>
      <c r="C69" t="s">
        <v>222</v>
      </c>
      <c r="D69" t="s">
        <v>222</v>
      </c>
      <c r="E69" t="s">
        <v>218</v>
      </c>
      <c r="F69" t="s">
        <v>219</v>
      </c>
      <c r="G69">
        <v>37263</v>
      </c>
      <c r="H69" t="s">
        <v>112</v>
      </c>
      <c r="I69" t="s">
        <v>113</v>
      </c>
      <c r="J69" t="s">
        <v>114</v>
      </c>
      <c r="K69" t="s">
        <v>115</v>
      </c>
      <c r="L69">
        <v>-361.5</v>
      </c>
      <c r="M69">
        <v>0</v>
      </c>
      <c r="O69" t="s">
        <v>116</v>
      </c>
      <c r="P69">
        <v>0</v>
      </c>
      <c r="Q69" t="s">
        <v>117</v>
      </c>
      <c r="R69" t="s">
        <v>118</v>
      </c>
      <c r="S69" t="str">
        <f>IFERROR(VLOOKUP(TRIM(J69),'VAT Validation'!A:B,2,FALSE),"")</f>
        <v>VALID</v>
      </c>
    </row>
    <row r="70" spans="1:19" x14ac:dyDescent="0.35">
      <c r="A70" t="s">
        <v>107</v>
      </c>
      <c r="B70" t="s">
        <v>259</v>
      </c>
      <c r="C70" t="s">
        <v>226</v>
      </c>
      <c r="D70" t="s">
        <v>226</v>
      </c>
      <c r="E70" t="s">
        <v>218</v>
      </c>
      <c r="F70" t="s">
        <v>219</v>
      </c>
      <c r="G70">
        <v>37263</v>
      </c>
      <c r="H70" t="s">
        <v>112</v>
      </c>
      <c r="I70" t="s">
        <v>113</v>
      </c>
      <c r="J70" t="s">
        <v>114</v>
      </c>
      <c r="K70" t="s">
        <v>115</v>
      </c>
      <c r="L70">
        <v>-3990.48</v>
      </c>
      <c r="M70">
        <v>0</v>
      </c>
      <c r="O70" t="s">
        <v>116</v>
      </c>
      <c r="P70">
        <v>0</v>
      </c>
      <c r="Q70" t="s">
        <v>117</v>
      </c>
      <c r="R70" t="s">
        <v>118</v>
      </c>
      <c r="S70" t="str">
        <f>IFERROR(VLOOKUP(TRIM(J70),'VAT Validation'!A:B,2,FALSE),"")</f>
        <v>VALID</v>
      </c>
    </row>
    <row r="71" spans="1:19" x14ac:dyDescent="0.35">
      <c r="A71" t="s">
        <v>107</v>
      </c>
      <c r="B71" t="s">
        <v>260</v>
      </c>
      <c r="C71" t="s">
        <v>261</v>
      </c>
      <c r="D71" t="s">
        <v>261</v>
      </c>
      <c r="E71" t="s">
        <v>218</v>
      </c>
      <c r="F71" t="s">
        <v>219</v>
      </c>
      <c r="G71">
        <v>37263</v>
      </c>
      <c r="H71" t="s">
        <v>112</v>
      </c>
      <c r="I71" t="s">
        <v>113</v>
      </c>
      <c r="J71" t="s">
        <v>114</v>
      </c>
      <c r="K71" t="s">
        <v>115</v>
      </c>
      <c r="L71">
        <v>-1446</v>
      </c>
      <c r="M71">
        <v>0</v>
      </c>
      <c r="O71" t="s">
        <v>116</v>
      </c>
      <c r="P71">
        <v>0</v>
      </c>
      <c r="Q71" t="s">
        <v>117</v>
      </c>
      <c r="R71" t="s">
        <v>118</v>
      </c>
      <c r="S71" t="str">
        <f>IFERROR(VLOOKUP(TRIM(J71),'VAT Validation'!A:B,2,FALSE),"")</f>
        <v>VALID</v>
      </c>
    </row>
    <row r="72" spans="1:19" x14ac:dyDescent="0.35">
      <c r="A72" t="s">
        <v>107</v>
      </c>
      <c r="B72" t="s">
        <v>262</v>
      </c>
      <c r="C72" t="s">
        <v>239</v>
      </c>
      <c r="D72" t="s">
        <v>239</v>
      </c>
      <c r="E72" t="s">
        <v>218</v>
      </c>
      <c r="F72" t="s">
        <v>219</v>
      </c>
      <c r="G72">
        <v>37263</v>
      </c>
      <c r="H72" t="s">
        <v>112</v>
      </c>
      <c r="I72" t="s">
        <v>113</v>
      </c>
      <c r="J72" t="s">
        <v>114</v>
      </c>
      <c r="K72" t="s">
        <v>115</v>
      </c>
      <c r="L72">
        <v>-7919.57</v>
      </c>
      <c r="M72">
        <v>0</v>
      </c>
      <c r="O72" t="s">
        <v>116</v>
      </c>
      <c r="P72">
        <v>0</v>
      </c>
      <c r="Q72" t="s">
        <v>117</v>
      </c>
      <c r="R72" t="s">
        <v>118</v>
      </c>
      <c r="S72" t="str">
        <f>IFERROR(VLOOKUP(TRIM(J72),'VAT Validation'!A:B,2,FALSE),"")</f>
        <v>VALID</v>
      </c>
    </row>
    <row r="73" spans="1:19" x14ac:dyDescent="0.35">
      <c r="A73" t="s">
        <v>107</v>
      </c>
      <c r="B73" t="s">
        <v>264</v>
      </c>
      <c r="C73" t="s">
        <v>217</v>
      </c>
      <c r="D73" t="s">
        <v>217</v>
      </c>
      <c r="E73" t="s">
        <v>218</v>
      </c>
      <c r="F73" t="s">
        <v>219</v>
      </c>
      <c r="G73">
        <v>37263</v>
      </c>
      <c r="H73" t="s">
        <v>112</v>
      </c>
      <c r="I73" t="s">
        <v>113</v>
      </c>
      <c r="J73" t="s">
        <v>114</v>
      </c>
      <c r="K73" t="s">
        <v>115</v>
      </c>
      <c r="L73">
        <v>-7980.96</v>
      </c>
      <c r="M73">
        <v>0</v>
      </c>
      <c r="O73" t="s">
        <v>116</v>
      </c>
      <c r="P73">
        <v>0</v>
      </c>
      <c r="Q73" t="s">
        <v>117</v>
      </c>
      <c r="R73" t="s">
        <v>118</v>
      </c>
      <c r="S73" t="str">
        <f>IFERROR(VLOOKUP(TRIM(J73),'VAT Validation'!A:B,2,FALSE),"")</f>
        <v>VALID</v>
      </c>
    </row>
    <row r="74" spans="1:19" x14ac:dyDescent="0.35">
      <c r="A74" t="s">
        <v>107</v>
      </c>
      <c r="B74" t="s">
        <v>265</v>
      </c>
      <c r="C74" t="s">
        <v>247</v>
      </c>
      <c r="D74" t="s">
        <v>247</v>
      </c>
      <c r="E74" t="s">
        <v>218</v>
      </c>
      <c r="F74" t="s">
        <v>219</v>
      </c>
      <c r="G74">
        <v>37263</v>
      </c>
      <c r="H74" t="s">
        <v>112</v>
      </c>
      <c r="I74" t="s">
        <v>113</v>
      </c>
      <c r="J74" t="s">
        <v>114</v>
      </c>
      <c r="K74" t="s">
        <v>115</v>
      </c>
      <c r="L74">
        <v>-3990.48</v>
      </c>
      <c r="M74">
        <v>0</v>
      </c>
      <c r="O74" t="s">
        <v>116</v>
      </c>
      <c r="P74">
        <v>0</v>
      </c>
      <c r="Q74" t="s">
        <v>117</v>
      </c>
      <c r="R74" t="s">
        <v>118</v>
      </c>
      <c r="S74" t="str">
        <f>IFERROR(VLOOKUP(TRIM(J74),'VAT Validation'!A:B,2,FALSE),"")</f>
        <v>VALID</v>
      </c>
    </row>
    <row r="75" spans="1:19" x14ac:dyDescent="0.35">
      <c r="A75" t="s">
        <v>107</v>
      </c>
      <c r="B75" t="s">
        <v>266</v>
      </c>
      <c r="C75" t="s">
        <v>267</v>
      </c>
      <c r="D75" t="s">
        <v>267</v>
      </c>
      <c r="E75" t="s">
        <v>218</v>
      </c>
      <c r="F75" t="s">
        <v>219</v>
      </c>
      <c r="G75">
        <v>37263</v>
      </c>
      <c r="H75" t="s">
        <v>112</v>
      </c>
      <c r="I75" t="s">
        <v>113</v>
      </c>
      <c r="J75" t="s">
        <v>114</v>
      </c>
      <c r="K75" t="s">
        <v>115</v>
      </c>
      <c r="L75">
        <v>-1807.5</v>
      </c>
      <c r="M75">
        <v>0</v>
      </c>
      <c r="O75" t="s">
        <v>116</v>
      </c>
      <c r="P75">
        <v>0</v>
      </c>
      <c r="Q75" t="s">
        <v>117</v>
      </c>
      <c r="R75" t="s">
        <v>118</v>
      </c>
      <c r="S75" t="str">
        <f>IFERROR(VLOOKUP(TRIM(J75),'VAT Validation'!A:B,2,FALSE),"")</f>
        <v>VALID</v>
      </c>
    </row>
    <row r="76" spans="1:19" x14ac:dyDescent="0.35">
      <c r="A76" t="s">
        <v>107</v>
      </c>
      <c r="B76" t="s">
        <v>268</v>
      </c>
      <c r="C76" t="s">
        <v>239</v>
      </c>
      <c r="D76" t="s">
        <v>239</v>
      </c>
      <c r="E76" t="s">
        <v>218</v>
      </c>
      <c r="F76" t="s">
        <v>219</v>
      </c>
      <c r="G76">
        <v>37263</v>
      </c>
      <c r="H76" t="s">
        <v>112</v>
      </c>
      <c r="I76" t="s">
        <v>113</v>
      </c>
      <c r="J76" t="s">
        <v>114</v>
      </c>
      <c r="K76" t="s">
        <v>115</v>
      </c>
      <c r="L76">
        <v>-3806.3</v>
      </c>
      <c r="M76">
        <v>0</v>
      </c>
      <c r="O76" t="s">
        <v>116</v>
      </c>
      <c r="P76">
        <v>0</v>
      </c>
      <c r="Q76" t="s">
        <v>117</v>
      </c>
      <c r="R76" t="s">
        <v>118</v>
      </c>
      <c r="S76" t="str">
        <f>IFERROR(VLOOKUP(TRIM(J76),'VAT Validation'!A:B,2,FALSE),"")</f>
        <v>VALID</v>
      </c>
    </row>
    <row r="77" spans="1:19" x14ac:dyDescent="0.35">
      <c r="A77" t="s">
        <v>107</v>
      </c>
      <c r="B77" t="s">
        <v>269</v>
      </c>
      <c r="C77" t="s">
        <v>239</v>
      </c>
      <c r="D77" t="s">
        <v>239</v>
      </c>
      <c r="E77" t="s">
        <v>218</v>
      </c>
      <c r="F77" t="s">
        <v>219</v>
      </c>
      <c r="G77">
        <v>37263</v>
      </c>
      <c r="H77" t="s">
        <v>112</v>
      </c>
      <c r="I77" t="s">
        <v>113</v>
      </c>
      <c r="J77" t="s">
        <v>114</v>
      </c>
      <c r="K77" t="s">
        <v>115</v>
      </c>
      <c r="L77">
        <v>-7367.04</v>
      </c>
      <c r="M77">
        <v>0</v>
      </c>
      <c r="O77" t="s">
        <v>116</v>
      </c>
      <c r="P77">
        <v>0</v>
      </c>
      <c r="Q77" t="s">
        <v>117</v>
      </c>
      <c r="R77" t="s">
        <v>118</v>
      </c>
      <c r="S77" t="str">
        <f>IFERROR(VLOOKUP(TRIM(J77),'VAT Validation'!A:B,2,FALSE),"")</f>
        <v>VALID</v>
      </c>
    </row>
    <row r="78" spans="1:19" x14ac:dyDescent="0.35">
      <c r="A78" t="s">
        <v>107</v>
      </c>
      <c r="B78" t="s">
        <v>270</v>
      </c>
      <c r="C78" t="s">
        <v>239</v>
      </c>
      <c r="D78" t="s">
        <v>239</v>
      </c>
      <c r="E78" t="s">
        <v>218</v>
      </c>
      <c r="F78" t="s">
        <v>219</v>
      </c>
      <c r="G78">
        <v>37263</v>
      </c>
      <c r="H78" t="s">
        <v>112</v>
      </c>
      <c r="I78" t="s">
        <v>113</v>
      </c>
      <c r="J78" t="s">
        <v>114</v>
      </c>
      <c r="K78" t="s">
        <v>115</v>
      </c>
      <c r="L78">
        <v>-3990.48</v>
      </c>
      <c r="M78">
        <v>0</v>
      </c>
      <c r="O78" t="s">
        <v>116</v>
      </c>
      <c r="P78">
        <v>0</v>
      </c>
      <c r="Q78" t="s">
        <v>117</v>
      </c>
      <c r="R78" t="s">
        <v>118</v>
      </c>
      <c r="S78" t="str">
        <f>IFERROR(VLOOKUP(TRIM(J78),'VAT Validation'!A:B,2,FALSE),"")</f>
        <v>VALID</v>
      </c>
    </row>
    <row r="79" spans="1:19" x14ac:dyDescent="0.35">
      <c r="A79" t="s">
        <v>107</v>
      </c>
      <c r="B79" t="s">
        <v>271</v>
      </c>
      <c r="C79" t="s">
        <v>239</v>
      </c>
      <c r="D79" t="s">
        <v>239</v>
      </c>
      <c r="E79" t="s">
        <v>218</v>
      </c>
      <c r="F79" t="s">
        <v>219</v>
      </c>
      <c r="G79">
        <v>37263</v>
      </c>
      <c r="H79" t="s">
        <v>112</v>
      </c>
      <c r="I79" t="s">
        <v>113</v>
      </c>
      <c r="J79" t="s">
        <v>114</v>
      </c>
      <c r="K79" t="s">
        <v>115</v>
      </c>
      <c r="L79">
        <v>-3990.48</v>
      </c>
      <c r="M79">
        <v>0</v>
      </c>
      <c r="O79" t="s">
        <v>116</v>
      </c>
      <c r="P79">
        <v>0</v>
      </c>
      <c r="Q79" t="s">
        <v>117</v>
      </c>
      <c r="R79" t="s">
        <v>118</v>
      </c>
      <c r="S79" t="str">
        <f>IFERROR(VLOOKUP(TRIM(J79),'VAT Validation'!A:B,2,FALSE),"")</f>
        <v>VALID</v>
      </c>
    </row>
    <row r="80" spans="1:19" x14ac:dyDescent="0.35">
      <c r="A80" t="s">
        <v>107</v>
      </c>
      <c r="B80" t="s">
        <v>272</v>
      </c>
      <c r="C80" t="s">
        <v>250</v>
      </c>
      <c r="D80" t="s">
        <v>250</v>
      </c>
      <c r="G80">
        <v>11674</v>
      </c>
      <c r="H80" t="s">
        <v>143</v>
      </c>
      <c r="I80" t="s">
        <v>113</v>
      </c>
      <c r="J80" s="16"/>
      <c r="K80" t="s">
        <v>115</v>
      </c>
      <c r="L80">
        <v>-8904</v>
      </c>
      <c r="M80">
        <v>0</v>
      </c>
      <c r="O80" t="s">
        <v>116</v>
      </c>
      <c r="P80">
        <v>0</v>
      </c>
      <c r="Q80" t="s">
        <v>117</v>
      </c>
      <c r="R80" t="s">
        <v>118</v>
      </c>
      <c r="S80" t="str">
        <f>IFERROR(VLOOKUP(TRIM(J80),'VAT Validation'!A:B,2,FALSE),"")</f>
        <v/>
      </c>
    </row>
    <row r="81" spans="1:19" x14ac:dyDescent="0.35">
      <c r="A81" t="s">
        <v>107</v>
      </c>
      <c r="B81" t="s">
        <v>273</v>
      </c>
      <c r="C81" t="s">
        <v>250</v>
      </c>
      <c r="D81" t="s">
        <v>250</v>
      </c>
      <c r="G81">
        <v>11674</v>
      </c>
      <c r="H81" t="s">
        <v>143</v>
      </c>
      <c r="I81" t="s">
        <v>113</v>
      </c>
      <c r="J81" s="16"/>
      <c r="K81" t="s">
        <v>115</v>
      </c>
      <c r="L81">
        <v>-5194</v>
      </c>
      <c r="M81">
        <v>0</v>
      </c>
      <c r="O81" t="s">
        <v>116</v>
      </c>
      <c r="P81">
        <v>0</v>
      </c>
      <c r="Q81" t="s">
        <v>117</v>
      </c>
      <c r="R81" t="s">
        <v>118</v>
      </c>
      <c r="S81" t="str">
        <f>IFERROR(VLOOKUP(TRIM(J81),'VAT Validation'!A:B,2,FALSE),"")</f>
        <v/>
      </c>
    </row>
    <row r="82" spans="1:19" x14ac:dyDescent="0.35">
      <c r="A82" t="s">
        <v>107</v>
      </c>
      <c r="B82" t="s">
        <v>274</v>
      </c>
      <c r="C82" t="s">
        <v>237</v>
      </c>
      <c r="D82" t="s">
        <v>237</v>
      </c>
      <c r="E82" t="s">
        <v>218</v>
      </c>
      <c r="F82" t="s">
        <v>219</v>
      </c>
      <c r="G82">
        <v>37263</v>
      </c>
      <c r="H82" t="s">
        <v>112</v>
      </c>
      <c r="I82" t="s">
        <v>113</v>
      </c>
      <c r="J82" t="s">
        <v>114</v>
      </c>
      <c r="K82" t="s">
        <v>115</v>
      </c>
      <c r="L82">
        <v>-13014</v>
      </c>
      <c r="M82">
        <v>0</v>
      </c>
      <c r="O82" t="s">
        <v>116</v>
      </c>
      <c r="P82">
        <v>0</v>
      </c>
      <c r="Q82" t="s">
        <v>117</v>
      </c>
      <c r="R82" t="s">
        <v>118</v>
      </c>
      <c r="S82" t="str">
        <f>IFERROR(VLOOKUP(TRIM(J82),'VAT Validation'!A:B,2,FALSE),"")</f>
        <v>VALID</v>
      </c>
    </row>
    <row r="83" spans="1:19" x14ac:dyDescent="0.35">
      <c r="A83" t="s">
        <v>107</v>
      </c>
      <c r="B83" t="s">
        <v>277</v>
      </c>
      <c r="C83" t="s">
        <v>247</v>
      </c>
      <c r="D83" t="s">
        <v>247</v>
      </c>
      <c r="E83" t="s">
        <v>218</v>
      </c>
      <c r="F83" t="s">
        <v>219</v>
      </c>
      <c r="G83">
        <v>37263</v>
      </c>
      <c r="H83" t="s">
        <v>112</v>
      </c>
      <c r="I83" t="s">
        <v>113</v>
      </c>
      <c r="J83" t="s">
        <v>114</v>
      </c>
      <c r="K83" t="s">
        <v>115</v>
      </c>
      <c r="L83">
        <v>-13014</v>
      </c>
      <c r="M83">
        <v>0</v>
      </c>
      <c r="O83" t="s">
        <v>116</v>
      </c>
      <c r="P83">
        <v>0</v>
      </c>
      <c r="Q83" t="s">
        <v>117</v>
      </c>
      <c r="R83" t="s">
        <v>118</v>
      </c>
      <c r="S83" t="str">
        <f>IFERROR(VLOOKUP(TRIM(J83),'VAT Validation'!A:B,2,FALSE),"")</f>
        <v>VALID</v>
      </c>
    </row>
    <row r="84" spans="1:19" x14ac:dyDescent="0.35">
      <c r="A84" t="s">
        <v>107</v>
      </c>
      <c r="B84" t="s">
        <v>278</v>
      </c>
      <c r="C84" t="s">
        <v>250</v>
      </c>
      <c r="D84" t="s">
        <v>250</v>
      </c>
      <c r="E84" t="s">
        <v>218</v>
      </c>
      <c r="F84" t="s">
        <v>219</v>
      </c>
      <c r="G84">
        <v>37263</v>
      </c>
      <c r="H84" t="s">
        <v>112</v>
      </c>
      <c r="I84" t="s">
        <v>113</v>
      </c>
      <c r="J84" t="s">
        <v>114</v>
      </c>
      <c r="K84" t="s">
        <v>115</v>
      </c>
      <c r="L84">
        <v>-723</v>
      </c>
      <c r="M84">
        <v>0</v>
      </c>
      <c r="O84" t="s">
        <v>116</v>
      </c>
      <c r="P84">
        <v>0</v>
      </c>
      <c r="Q84" t="s">
        <v>117</v>
      </c>
      <c r="R84" t="s">
        <v>118</v>
      </c>
      <c r="S84" t="str">
        <f>IFERROR(VLOOKUP(TRIM(J84),'VAT Validation'!A:B,2,FALSE),"")</f>
        <v>VALID</v>
      </c>
    </row>
    <row r="85" spans="1:19" x14ac:dyDescent="0.35">
      <c r="A85" t="s">
        <v>107</v>
      </c>
      <c r="B85" t="s">
        <v>279</v>
      </c>
      <c r="C85" t="s">
        <v>280</v>
      </c>
      <c r="D85" t="s">
        <v>280</v>
      </c>
      <c r="E85" t="s">
        <v>218</v>
      </c>
      <c r="F85" t="s">
        <v>219</v>
      </c>
      <c r="G85">
        <v>37263</v>
      </c>
      <c r="H85" t="s">
        <v>112</v>
      </c>
      <c r="I85" t="s">
        <v>113</v>
      </c>
      <c r="J85" t="s">
        <v>114</v>
      </c>
      <c r="K85" t="s">
        <v>115</v>
      </c>
      <c r="L85">
        <v>-723</v>
      </c>
      <c r="M85">
        <v>0</v>
      </c>
      <c r="O85" t="s">
        <v>116</v>
      </c>
      <c r="P85">
        <v>0</v>
      </c>
      <c r="Q85" t="s">
        <v>117</v>
      </c>
      <c r="R85" t="s">
        <v>118</v>
      </c>
      <c r="S85" t="str">
        <f>IFERROR(VLOOKUP(TRIM(J85),'VAT Validation'!A:B,2,FALSE),"")</f>
        <v>VALID</v>
      </c>
    </row>
    <row r="86" spans="1:19" x14ac:dyDescent="0.35">
      <c r="A86" t="s">
        <v>107</v>
      </c>
      <c r="B86" t="s">
        <v>281</v>
      </c>
      <c r="C86" t="s">
        <v>239</v>
      </c>
      <c r="D86" t="s">
        <v>239</v>
      </c>
      <c r="E86" t="s">
        <v>218</v>
      </c>
      <c r="F86" t="s">
        <v>219</v>
      </c>
      <c r="G86">
        <v>37263</v>
      </c>
      <c r="H86" t="s">
        <v>112</v>
      </c>
      <c r="I86" t="s">
        <v>113</v>
      </c>
      <c r="J86" t="s">
        <v>114</v>
      </c>
      <c r="K86" t="s">
        <v>115</v>
      </c>
      <c r="L86">
        <v>-3990.48</v>
      </c>
      <c r="M86">
        <v>0</v>
      </c>
      <c r="O86" t="s">
        <v>116</v>
      </c>
      <c r="P86">
        <v>0</v>
      </c>
      <c r="Q86" t="s">
        <v>117</v>
      </c>
      <c r="R86" t="s">
        <v>118</v>
      </c>
      <c r="S86" t="str">
        <f>IFERROR(VLOOKUP(TRIM(J86),'VAT Validation'!A:B,2,FALSE),"")</f>
        <v>VALID</v>
      </c>
    </row>
    <row r="87" spans="1:19" x14ac:dyDescent="0.35">
      <c r="A87" t="s">
        <v>107</v>
      </c>
      <c r="B87" t="s">
        <v>284</v>
      </c>
      <c r="C87" t="s">
        <v>285</v>
      </c>
      <c r="D87" t="s">
        <v>285</v>
      </c>
      <c r="E87" t="s">
        <v>218</v>
      </c>
      <c r="F87" t="s">
        <v>219</v>
      </c>
      <c r="G87">
        <v>37263</v>
      </c>
      <c r="H87" t="s">
        <v>112</v>
      </c>
      <c r="I87" t="s">
        <v>113</v>
      </c>
      <c r="J87" t="s">
        <v>114</v>
      </c>
      <c r="K87" t="s">
        <v>115</v>
      </c>
      <c r="L87">
        <v>-13375.5</v>
      </c>
      <c r="M87">
        <v>0</v>
      </c>
      <c r="O87" t="s">
        <v>116</v>
      </c>
      <c r="P87">
        <v>0</v>
      </c>
      <c r="Q87" t="s">
        <v>117</v>
      </c>
      <c r="R87" t="s">
        <v>118</v>
      </c>
      <c r="S87" t="str">
        <f>IFERROR(VLOOKUP(TRIM(J87),'VAT Validation'!A:B,2,FALSE),"")</f>
        <v>VALID</v>
      </c>
    </row>
    <row r="88" spans="1:19" x14ac:dyDescent="0.35">
      <c r="A88" t="s">
        <v>107</v>
      </c>
      <c r="B88" t="s">
        <v>286</v>
      </c>
      <c r="C88" t="s">
        <v>217</v>
      </c>
      <c r="D88" t="s">
        <v>217</v>
      </c>
      <c r="E88" t="s">
        <v>218</v>
      </c>
      <c r="F88" t="s">
        <v>219</v>
      </c>
      <c r="G88">
        <v>37263</v>
      </c>
      <c r="H88" t="s">
        <v>112</v>
      </c>
      <c r="I88" t="s">
        <v>113</v>
      </c>
      <c r="J88" t="s">
        <v>114</v>
      </c>
      <c r="K88" t="s">
        <v>115</v>
      </c>
      <c r="L88">
        <v>-3990.48</v>
      </c>
      <c r="M88">
        <v>0</v>
      </c>
      <c r="O88" t="s">
        <v>116</v>
      </c>
      <c r="P88">
        <v>0</v>
      </c>
      <c r="Q88" t="s">
        <v>117</v>
      </c>
      <c r="R88" t="s">
        <v>118</v>
      </c>
      <c r="S88" t="str">
        <f>IFERROR(VLOOKUP(TRIM(J88),'VAT Validation'!A:B,2,FALSE),"")</f>
        <v>VALID</v>
      </c>
    </row>
    <row r="89" spans="1:19" x14ac:dyDescent="0.35">
      <c r="A89" t="s">
        <v>107</v>
      </c>
      <c r="B89" t="s">
        <v>287</v>
      </c>
      <c r="C89" t="s">
        <v>288</v>
      </c>
      <c r="D89" t="s">
        <v>288</v>
      </c>
      <c r="E89" t="s">
        <v>218</v>
      </c>
      <c r="F89" t="s">
        <v>219</v>
      </c>
      <c r="G89">
        <v>37263</v>
      </c>
      <c r="H89" t="s">
        <v>112</v>
      </c>
      <c r="I89" t="s">
        <v>113</v>
      </c>
      <c r="J89" t="s">
        <v>114</v>
      </c>
      <c r="K89" t="s">
        <v>115</v>
      </c>
      <c r="L89">
        <v>-12652.5</v>
      </c>
      <c r="M89">
        <v>0</v>
      </c>
      <c r="O89" t="s">
        <v>116</v>
      </c>
      <c r="P89">
        <v>0</v>
      </c>
      <c r="Q89" t="s">
        <v>117</v>
      </c>
      <c r="R89" t="s">
        <v>118</v>
      </c>
      <c r="S89" t="str">
        <f>IFERROR(VLOOKUP(TRIM(J89),'VAT Validation'!A:B,2,FALSE),"")</f>
        <v>VALID</v>
      </c>
    </row>
    <row r="90" spans="1:19" x14ac:dyDescent="0.35">
      <c r="A90" t="s">
        <v>107</v>
      </c>
      <c r="B90" t="s">
        <v>289</v>
      </c>
      <c r="C90" t="s">
        <v>290</v>
      </c>
      <c r="D90" t="s">
        <v>290</v>
      </c>
      <c r="E90" t="s">
        <v>218</v>
      </c>
      <c r="F90" t="s">
        <v>219</v>
      </c>
      <c r="G90">
        <v>37263</v>
      </c>
      <c r="H90" t="s">
        <v>112</v>
      </c>
      <c r="I90" t="s">
        <v>113</v>
      </c>
      <c r="J90" t="s">
        <v>114</v>
      </c>
      <c r="K90" t="s">
        <v>115</v>
      </c>
      <c r="L90">
        <v>-1084.5</v>
      </c>
      <c r="M90">
        <v>0</v>
      </c>
      <c r="O90" t="s">
        <v>116</v>
      </c>
      <c r="P90">
        <v>0</v>
      </c>
      <c r="Q90" t="s">
        <v>117</v>
      </c>
      <c r="R90" t="s">
        <v>118</v>
      </c>
      <c r="S90" t="str">
        <f>IFERROR(VLOOKUP(TRIM(J90),'VAT Validation'!A:B,2,FALSE),"")</f>
        <v>VALID</v>
      </c>
    </row>
    <row r="91" spans="1:19" x14ac:dyDescent="0.35">
      <c r="A91" t="s">
        <v>107</v>
      </c>
      <c r="B91" t="s">
        <v>291</v>
      </c>
      <c r="C91" t="s">
        <v>247</v>
      </c>
      <c r="D91" t="s">
        <v>247</v>
      </c>
      <c r="E91" t="s">
        <v>218</v>
      </c>
      <c r="F91" t="s">
        <v>219</v>
      </c>
      <c r="G91">
        <v>37263</v>
      </c>
      <c r="H91" t="s">
        <v>112</v>
      </c>
      <c r="I91" t="s">
        <v>113</v>
      </c>
      <c r="J91" t="s">
        <v>114</v>
      </c>
      <c r="K91" t="s">
        <v>115</v>
      </c>
      <c r="L91">
        <v>-3929.09</v>
      </c>
      <c r="M91">
        <v>0</v>
      </c>
      <c r="O91" t="s">
        <v>116</v>
      </c>
      <c r="P91">
        <v>0</v>
      </c>
      <c r="Q91" t="s">
        <v>117</v>
      </c>
      <c r="R91" t="s">
        <v>118</v>
      </c>
      <c r="S91" t="str">
        <f>IFERROR(VLOOKUP(TRIM(J91),'VAT Validation'!A:B,2,FALSE),"")</f>
        <v>VALID</v>
      </c>
    </row>
    <row r="92" spans="1:19" x14ac:dyDescent="0.35">
      <c r="A92" t="s">
        <v>107</v>
      </c>
      <c r="B92" t="s">
        <v>292</v>
      </c>
      <c r="C92" t="s">
        <v>226</v>
      </c>
      <c r="D92" t="s">
        <v>226</v>
      </c>
      <c r="E92" t="s">
        <v>218</v>
      </c>
      <c r="F92" t="s">
        <v>219</v>
      </c>
      <c r="G92">
        <v>37263</v>
      </c>
      <c r="H92" t="s">
        <v>112</v>
      </c>
      <c r="I92" t="s">
        <v>113</v>
      </c>
      <c r="J92" t="s">
        <v>114</v>
      </c>
      <c r="K92" t="s">
        <v>115</v>
      </c>
      <c r="L92">
        <v>-11787.26</v>
      </c>
      <c r="M92">
        <v>0</v>
      </c>
      <c r="O92" t="s">
        <v>116</v>
      </c>
      <c r="P92">
        <v>0</v>
      </c>
      <c r="Q92" t="s">
        <v>117</v>
      </c>
      <c r="R92" t="s">
        <v>118</v>
      </c>
      <c r="S92" t="str">
        <f>IFERROR(VLOOKUP(TRIM(J92),'VAT Validation'!A:B,2,FALSE),"")</f>
        <v>VALID</v>
      </c>
    </row>
    <row r="93" spans="1:19" x14ac:dyDescent="0.35">
      <c r="A93" t="s">
        <v>107</v>
      </c>
      <c r="B93" t="s">
        <v>293</v>
      </c>
      <c r="C93" t="s">
        <v>226</v>
      </c>
      <c r="D93" t="s">
        <v>226</v>
      </c>
      <c r="E93" t="s">
        <v>218</v>
      </c>
      <c r="F93" t="s">
        <v>219</v>
      </c>
      <c r="G93">
        <v>37263</v>
      </c>
      <c r="H93" t="s">
        <v>112</v>
      </c>
      <c r="I93" t="s">
        <v>113</v>
      </c>
      <c r="J93" t="s">
        <v>114</v>
      </c>
      <c r="K93" t="s">
        <v>115</v>
      </c>
      <c r="L93">
        <v>-7980.96</v>
      </c>
      <c r="M93">
        <v>0</v>
      </c>
      <c r="O93" t="s">
        <v>116</v>
      </c>
      <c r="P93">
        <v>0</v>
      </c>
      <c r="Q93" t="s">
        <v>117</v>
      </c>
      <c r="R93" t="s">
        <v>118</v>
      </c>
      <c r="S93" t="str">
        <f>IFERROR(VLOOKUP(TRIM(J93),'VAT Validation'!A:B,2,FALSE),"")</f>
        <v>VALID</v>
      </c>
    </row>
    <row r="94" spans="1:19" x14ac:dyDescent="0.35">
      <c r="A94" t="s">
        <v>107</v>
      </c>
      <c r="B94" t="s">
        <v>294</v>
      </c>
      <c r="C94" t="s">
        <v>295</v>
      </c>
      <c r="D94" t="s">
        <v>295</v>
      </c>
      <c r="E94" t="s">
        <v>218</v>
      </c>
      <c r="F94" t="s">
        <v>219</v>
      </c>
      <c r="G94">
        <v>37263</v>
      </c>
      <c r="H94" t="s">
        <v>112</v>
      </c>
      <c r="I94" t="s">
        <v>113</v>
      </c>
      <c r="J94" t="s">
        <v>114</v>
      </c>
      <c r="K94" t="s">
        <v>115</v>
      </c>
      <c r="L94">
        <v>-12652.5</v>
      </c>
      <c r="M94">
        <v>0</v>
      </c>
      <c r="O94" t="s">
        <v>116</v>
      </c>
      <c r="P94">
        <v>0</v>
      </c>
      <c r="Q94" t="s">
        <v>117</v>
      </c>
      <c r="R94" t="s">
        <v>118</v>
      </c>
      <c r="S94" t="str">
        <f>IFERROR(VLOOKUP(TRIM(J94),'VAT Validation'!A:B,2,FALSE),"")</f>
        <v>VALID</v>
      </c>
    </row>
    <row r="95" spans="1:19" x14ac:dyDescent="0.35">
      <c r="A95" t="s">
        <v>107</v>
      </c>
      <c r="B95" t="s">
        <v>296</v>
      </c>
      <c r="C95" t="s">
        <v>250</v>
      </c>
      <c r="D95" t="s">
        <v>250</v>
      </c>
      <c r="G95">
        <v>11674</v>
      </c>
      <c r="H95" t="s">
        <v>143</v>
      </c>
      <c r="I95" t="s">
        <v>113</v>
      </c>
      <c r="J95" s="16"/>
      <c r="K95" t="s">
        <v>115</v>
      </c>
      <c r="L95">
        <v>-14421</v>
      </c>
      <c r="M95">
        <v>0</v>
      </c>
      <c r="O95" t="s">
        <v>116</v>
      </c>
      <c r="P95">
        <v>0</v>
      </c>
      <c r="Q95" t="s">
        <v>117</v>
      </c>
      <c r="R95" t="s">
        <v>118</v>
      </c>
      <c r="S95" t="str">
        <f>IFERROR(VLOOKUP(TRIM(J95),'VAT Validation'!A:B,2,FALSE),"")</f>
        <v/>
      </c>
    </row>
    <row r="96" spans="1:19" x14ac:dyDescent="0.35">
      <c r="A96" t="s">
        <v>107</v>
      </c>
      <c r="B96" t="s">
        <v>297</v>
      </c>
      <c r="C96" t="s">
        <v>250</v>
      </c>
      <c r="D96" t="s">
        <v>250</v>
      </c>
      <c r="G96">
        <v>11674</v>
      </c>
      <c r="H96" t="s">
        <v>143</v>
      </c>
      <c r="I96" t="s">
        <v>113</v>
      </c>
      <c r="J96" s="16"/>
      <c r="K96" t="s">
        <v>115</v>
      </c>
      <c r="L96">
        <v>-12640.8</v>
      </c>
      <c r="M96">
        <v>0</v>
      </c>
      <c r="O96" t="s">
        <v>116</v>
      </c>
      <c r="P96">
        <v>0</v>
      </c>
      <c r="Q96" t="s">
        <v>117</v>
      </c>
      <c r="R96" t="s">
        <v>118</v>
      </c>
      <c r="S96" t="str">
        <f>IFERROR(VLOOKUP(TRIM(J96),'VAT Validation'!A:B,2,FALSE),"")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25" x14ac:dyDescent="0.35">
      <c r="A1" s="15" t="s">
        <v>301</v>
      </c>
      <c r="B1" s="15" t="s">
        <v>302</v>
      </c>
      <c r="C1" s="15" t="s">
        <v>303</v>
      </c>
      <c r="D1" s="15" t="s">
        <v>304</v>
      </c>
      <c r="E1" s="15" t="s">
        <v>305</v>
      </c>
      <c r="F1" s="15" t="s">
        <v>306</v>
      </c>
      <c r="G1" s="15" t="s">
        <v>307</v>
      </c>
      <c r="H1" s="15" t="s">
        <v>308</v>
      </c>
      <c r="I1" s="15" t="s">
        <v>309</v>
      </c>
      <c r="J1" s="15" t="s">
        <v>310</v>
      </c>
      <c r="K1" s="15" t="s">
        <v>90</v>
      </c>
      <c r="L1" s="15" t="s">
        <v>311</v>
      </c>
      <c r="M1" s="15" t="s">
        <v>312</v>
      </c>
      <c r="N1" s="15" t="s">
        <v>313</v>
      </c>
      <c r="O1" s="15" t="s">
        <v>314</v>
      </c>
      <c r="P1" s="15" t="s">
        <v>315</v>
      </c>
      <c r="Q1" s="15" t="s">
        <v>316</v>
      </c>
      <c r="R1" s="15" t="s">
        <v>317</v>
      </c>
      <c r="S1" s="15" t="s">
        <v>318</v>
      </c>
      <c r="T1" s="15" t="s">
        <v>319</v>
      </c>
      <c r="U1" s="15" t="s">
        <v>101</v>
      </c>
      <c r="V1" s="15" t="s">
        <v>320</v>
      </c>
      <c r="W1" s="15" t="s">
        <v>321</v>
      </c>
      <c r="X1" s="15" t="s">
        <v>322</v>
      </c>
      <c r="Y1" s="15" t="s">
        <v>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2" x14ac:dyDescent="0.35">
      <c r="A1" s="15" t="s">
        <v>97</v>
      </c>
      <c r="B1" s="15" t="s">
        <v>106</v>
      </c>
    </row>
    <row r="2" spans="1:2" x14ac:dyDescent="0.35">
      <c r="A2" t="s">
        <v>324</v>
      </c>
      <c r="B2" t="s">
        <v>325</v>
      </c>
    </row>
    <row r="3" spans="1:2" x14ac:dyDescent="0.35">
      <c r="A3" t="s">
        <v>326</v>
      </c>
      <c r="B3" t="s">
        <v>325</v>
      </c>
    </row>
    <row r="4" spans="1:2" x14ac:dyDescent="0.35">
      <c r="A4" t="s">
        <v>327</v>
      </c>
      <c r="B4" t="s">
        <v>325</v>
      </c>
    </row>
    <row r="5" spans="1:2" x14ac:dyDescent="0.35">
      <c r="A5" t="s">
        <v>328</v>
      </c>
      <c r="B5" t="s">
        <v>325</v>
      </c>
    </row>
    <row r="6" spans="1:2" x14ac:dyDescent="0.35">
      <c r="A6" t="s">
        <v>329</v>
      </c>
      <c r="B6" t="s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VAT Summary</vt:lpstr>
      <vt:lpstr>Overall VAT Comparison</vt:lpstr>
      <vt:lpstr>EC acquisition</vt:lpstr>
      <vt:lpstr>Domestic sales (21% VAT)</vt:lpstr>
      <vt:lpstr>Domestic sales (0% VAT)</vt:lpstr>
      <vt:lpstr>Missed Inv in VAT Transaction</vt:lpstr>
      <vt:lpstr>VAT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Umapathy Sakthivel</cp:lastModifiedBy>
  <dcterms:created xsi:type="dcterms:W3CDTF">2026-07-30T10:01:47Z</dcterms:created>
  <dcterms:modified xsi:type="dcterms:W3CDTF">2026-08-06T06:27:25Z</dcterms:modified>
</cp:coreProperties>
</file>