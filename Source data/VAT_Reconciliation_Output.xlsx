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T Summary" sheetId="1" state="visible" r:id="rId1"/>
    <sheet xmlns:r="http://schemas.openxmlformats.org/officeDocument/2006/relationships" name="Overall VAT Comparison" sheetId="2" state="visible" r:id="rId2"/>
    <sheet xmlns:r="http://schemas.openxmlformats.org/officeDocument/2006/relationships" name="EC acquisition" sheetId="3" state="visible" r:id="rId3"/>
    <sheet xmlns:r="http://schemas.openxmlformats.org/officeDocument/2006/relationships" name="Domestic sales (21% VAT)" sheetId="4" state="visible" r:id="rId4"/>
    <sheet xmlns:r="http://schemas.openxmlformats.org/officeDocument/2006/relationships" name="Domestic sales (0% VAT)" sheetId="5" state="visible" r:id="rId5"/>
    <sheet xmlns:r="http://schemas.openxmlformats.org/officeDocument/2006/relationships" name="Missed Inv in VAT Transaction" sheetId="6" state="visible" r:id="rId6"/>
    <sheet xmlns:r="http://schemas.openxmlformats.org/officeDocument/2006/relationships" name="VAT 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</font>
    <font>
      <name val="Aptos Narrow"/>
      <family val="2"/>
      <color theme="1"/>
      <sz val="11"/>
      <scheme val="minor"/>
    </font>
    <font>
      <name val="Aptos Narrow"/>
      <family val="2"/>
      <color theme="8"/>
      <sz val="11"/>
      <scheme val="minor"/>
    </font>
    <font>
      <name val="Aptos Narrow"/>
      <family val="2"/>
      <i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4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5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/>
    </xf>
    <xf numFmtId="0" fontId="0" fillId="0" borderId="10" pivotButton="0" quotePrefix="0" xfId="0"/>
    <xf numFmtId="9" fontId="2" fillId="0" borderId="1" pivotButton="0" quotePrefix="0" xfId="0"/>
    <xf numFmtId="0" fontId="0" fillId="0" borderId="11" pivotButton="0" quotePrefix="0" xfId="0"/>
    <xf numFmtId="0" fontId="0" fillId="0" borderId="12" pivotButton="0" quotePrefix="0" xfId="0"/>
    <xf numFmtId="4" fontId="3" fillId="4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10" fontId="2" fillId="0" borderId="1" pivotButton="0" quotePrefix="0" xfId="0"/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9" borderId="1" pivotButton="0" quotePrefix="0" xfId="0"/>
    <xf numFmtId="0" fontId="2" fillId="5" borderId="1" applyAlignment="1" pivotButton="0" quotePrefix="0" xfId="0">
      <alignment horizontal="center"/>
    </xf>
    <xf numFmtId="4" fontId="2" fillId="0" borderId="0" pivotButton="0" quotePrefix="0" xfId="0"/>
    <xf numFmtId="0" fontId="2" fillId="5" borderId="0" applyAlignment="1" pivotButton="0" quotePrefix="0" xfId="0">
      <alignment horizontal="center"/>
    </xf>
    <xf numFmtId="0" fontId="2" fillId="5" borderId="13" applyAlignment="1" pivotButton="0" quotePrefix="0" xfId="0">
      <alignment horizontal="center"/>
    </xf>
    <xf numFmtId="0" fontId="2" fillId="7" borderId="14" applyAlignment="1" pivotButton="0" quotePrefix="0" xfId="0">
      <alignment horizontal="center"/>
    </xf>
    <xf numFmtId="0" fontId="2" fillId="7" borderId="11" applyAlignment="1" pivotButton="0" quotePrefix="0" xfId="0">
      <alignment horizontal="center"/>
    </xf>
    <xf numFmtId="0" fontId="2" fillId="7" borderId="5" applyAlignment="1" pivotButton="0" quotePrefix="0" xfId="0">
      <alignment horizontal="center"/>
    </xf>
    <xf numFmtId="0" fontId="2" fillId="5" borderId="14" applyAlignment="1" pivotButton="0" quotePrefix="0" xfId="0">
      <alignment horizontal="center"/>
    </xf>
    <xf numFmtId="0" fontId="4" fillId="0" borderId="0" pivotButton="0" quotePrefix="0" xfId="0"/>
    <xf numFmtId="4" fontId="4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60.81640625" customWidth="1" min="1" max="1"/>
  </cols>
  <sheetData>
    <row r="1">
      <c r="A1" s="1" t="n"/>
      <c r="B1" s="2" t="n"/>
      <c r="C1" s="2" t="n"/>
      <c r="D1" s="2" t="n"/>
      <c r="E1" s="2" t="n"/>
      <c r="F1" s="2" t="n"/>
      <c r="G1" s="3" t="n"/>
      <c r="H1" s="4" t="inlineStr">
        <is>
          <t>VAT return</t>
        </is>
      </c>
      <c r="I1" s="3" t="n"/>
      <c r="J1" s="5" t="n"/>
      <c r="K1" s="6" t="n"/>
    </row>
    <row r="2">
      <c r="A2" s="7" t="n"/>
      <c r="G2" s="8" t="n"/>
      <c r="H2" s="7" t="n"/>
      <c r="I2" s="8" t="n"/>
      <c r="J2" s="9" t="inlineStr">
        <is>
          <t>Period: Q1_2026</t>
        </is>
      </c>
      <c r="K2" s="3" t="n"/>
    </row>
    <row r="3">
      <c r="A3" s="7" t="n"/>
      <c r="G3" s="8" t="n"/>
      <c r="H3" s="7" t="n"/>
      <c r="I3" s="8" t="n"/>
      <c r="K3" s="8" t="n"/>
    </row>
    <row r="4">
      <c r="A4" s="10" t="n"/>
      <c r="B4" s="11" t="n"/>
      <c r="C4" s="11" t="n"/>
      <c r="D4" s="11" t="n"/>
      <c r="E4" s="11" t="n"/>
      <c r="F4" s="11" t="n"/>
      <c r="G4" s="12" t="n"/>
      <c r="H4" s="10" t="n"/>
      <c r="I4" s="12" t="n"/>
      <c r="J4" s="11" t="n"/>
      <c r="K4" s="12" t="n"/>
    </row>
    <row r="5">
      <c r="A5" s="5" t="inlineStr">
        <is>
          <t>Description Tax base amount VAT rate VAT amount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3" t="n"/>
    </row>
    <row r="6">
      <c r="A6" s="10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2" t="n"/>
    </row>
    <row r="7">
      <c r="A7" s="13" t="inlineStr">
        <is>
          <t>Local sales</t>
        </is>
      </c>
      <c r="B7" s="1" t="inlineStr">
        <is>
          <t>box01</t>
        </is>
      </c>
      <c r="C7" s="14" t="n"/>
      <c r="D7" s="15" t="n"/>
      <c r="E7" s="6" t="n"/>
      <c r="F7" s="1" t="inlineStr">
        <is>
          <t>box02</t>
        </is>
      </c>
      <c r="G7" s="16" t="n">
        <v>0.04</v>
      </c>
      <c r="H7" s="1" t="inlineStr">
        <is>
          <t>box03</t>
        </is>
      </c>
      <c r="I7" s="14" t="n"/>
      <c r="J7" s="15" t="n"/>
      <c r="K7" s="6" t="n"/>
    </row>
    <row r="8">
      <c r="A8" s="17" t="n"/>
      <c r="B8" s="1" t="inlineStr">
        <is>
          <t>box04</t>
        </is>
      </c>
      <c r="C8" s="14" t="n"/>
      <c r="D8" s="15" t="n"/>
      <c r="E8" s="6" t="n"/>
      <c r="F8" s="1" t="inlineStr">
        <is>
          <t>box05</t>
        </is>
      </c>
      <c r="G8" s="16" t="n">
        <v>0.1</v>
      </c>
      <c r="H8" s="1" t="inlineStr">
        <is>
          <t>box06</t>
        </is>
      </c>
      <c r="I8" s="14" t="n"/>
      <c r="J8" s="15" t="n"/>
      <c r="K8" s="6" t="n"/>
    </row>
    <row r="9">
      <c r="A9" s="18" t="n"/>
      <c r="B9" s="1" t="inlineStr">
        <is>
          <t>box07</t>
        </is>
      </c>
      <c r="C9" s="19">
        <f>(SUMIFS('Overall VAT Comparison'!$L:$L,'Overall VAT Comparison'!$A:$A,"Credit note",'Overall VAT Comparison'!$K:$K,"ES_REG/DSG_21"))*-1</f>
        <v/>
      </c>
      <c r="D9" s="15" t="n"/>
      <c r="E9" s="6" t="n"/>
      <c r="F9" s="1" t="inlineStr">
        <is>
          <t>box08</t>
        </is>
      </c>
      <c r="G9" s="16" t="n">
        <v>0.21</v>
      </c>
      <c r="H9" s="1" t="inlineStr">
        <is>
          <t>box09</t>
        </is>
      </c>
      <c r="I9" s="19">
        <f>(SUMIFS('Overall VAT Comparison'!$M:$M,'Overall VAT Comparison'!$A:$A,"Credit note",'Overall VAT Comparison'!$K:$K,"ES_REG/DSG_21"))*-1</f>
        <v/>
      </c>
      <c r="J9" s="15" t="n"/>
      <c r="K9" s="6" t="n"/>
    </row>
    <row r="10">
      <c r="A10" s="13" t="inlineStr">
        <is>
          <t>Intra-community acquisitions of goods and services</t>
        </is>
      </c>
      <c r="B10" s="1" t="inlineStr">
        <is>
          <t>box10</t>
        </is>
      </c>
      <c r="C10" s="19">
        <f>SUMIFS('Overall VAT Comparison'!$L:$L,'Overall VAT Comparison'!$H:$H,"JOHNSON ELECTRIC POLAND SP ZOO",'Overall VAT Comparison'!$K:$K,"ES_REG/ES_ICAG_21_RCR")</f>
        <v/>
      </c>
      <c r="D10" s="15" t="n"/>
      <c r="E10" s="6" t="n"/>
      <c r="F10" s="20" t="n"/>
      <c r="G10" s="3" t="n"/>
      <c r="H10" s="1" t="inlineStr">
        <is>
          <t>box11</t>
        </is>
      </c>
      <c r="I10" s="19">
        <f>SUMIFS('Overall VAT Comparison'!$M:$M,'Overall VAT Comparison'!$H:$H,"JOHNSON ELECTRIC POLAND SP ZOO",'Overall VAT Comparison'!$K:$K,"ES_REG/ES_ICAG_21_RCR")</f>
        <v/>
      </c>
      <c r="J10" s="15" t="n"/>
      <c r="K10" s="6" t="n"/>
    </row>
    <row r="11">
      <c r="A11" s="13" t="inlineStr">
        <is>
          <t>Other reverse charge transactions(except ICA)</t>
        </is>
      </c>
      <c r="B11" s="1" t="inlineStr">
        <is>
          <t>box12</t>
        </is>
      </c>
      <c r="C11" s="14" t="n"/>
      <c r="D11" s="15" t="n"/>
      <c r="E11" s="6" t="n"/>
      <c r="F11" s="7" t="n"/>
      <c r="G11" s="8" t="n"/>
      <c r="H11" s="1" t="inlineStr">
        <is>
          <t>box13</t>
        </is>
      </c>
      <c r="I11" s="21" t="n"/>
      <c r="J11" s="15" t="n"/>
      <c r="K11" s="6" t="n"/>
    </row>
    <row r="12">
      <c r="A12" s="13" t="inlineStr">
        <is>
          <t>Modified taxable basis and VATamounts</t>
        </is>
      </c>
      <c r="B12" s="1" t="inlineStr">
        <is>
          <t>box14</t>
        </is>
      </c>
      <c r="C12" s="19">
        <f>(SUMIFS('Overall VAT Comparison'!$L:$L,'Overall VAT Comparison'!$A:$A,"Invoice",'Overall VAT Comparison'!$K:$K,"ES_REG/DSG_21"))*-1</f>
        <v/>
      </c>
      <c r="D12" s="15" t="n"/>
      <c r="E12" s="6" t="n"/>
      <c r="F12" s="10" t="n"/>
      <c r="G12" s="12" t="n"/>
      <c r="H12" s="1" t="inlineStr">
        <is>
          <t>box15</t>
        </is>
      </c>
      <c r="I12" s="19">
        <f>(SUMIFS('Overall VAT Comparison'!$M:$M,'Overall VAT Comparison'!$A:$A,"Invoice",'Overall VAT Comparison'!$K:$K,"ES_REG/DSG_21"))*-1</f>
        <v/>
      </c>
      <c r="J12" s="15" t="n"/>
      <c r="K12" s="6" t="n"/>
    </row>
    <row r="13">
      <c r="A13" s="13" t="inlineStr">
        <is>
          <t>Special retail scheme</t>
        </is>
      </c>
      <c r="B13" s="1" t="inlineStr">
        <is>
          <t>box16</t>
        </is>
      </c>
      <c r="C13" s="14" t="n"/>
      <c r="D13" s="15" t="n"/>
      <c r="E13" s="6" t="n"/>
      <c r="F13" s="1" t="inlineStr">
        <is>
          <t>box17</t>
        </is>
      </c>
      <c r="G13" s="1" t="n"/>
      <c r="H13" s="1" t="inlineStr">
        <is>
          <t>box18</t>
        </is>
      </c>
      <c r="I13" s="21" t="n"/>
      <c r="J13" s="15" t="n"/>
      <c r="K13" s="6" t="n"/>
    </row>
    <row r="14">
      <c r="A14" s="17" t="n"/>
      <c r="B14" s="1" t="inlineStr">
        <is>
          <t>box19</t>
        </is>
      </c>
      <c r="C14" s="14" t="n"/>
      <c r="D14" s="15" t="n"/>
      <c r="E14" s="6" t="n"/>
      <c r="F14" s="1" t="inlineStr">
        <is>
          <t>box20</t>
        </is>
      </c>
      <c r="G14" s="22" t="n">
        <v>0.014</v>
      </c>
      <c r="H14" s="1" t="inlineStr">
        <is>
          <t>box21</t>
        </is>
      </c>
      <c r="I14" s="21" t="n"/>
      <c r="J14" s="15" t="n"/>
      <c r="K14" s="6" t="n"/>
    </row>
    <row r="15">
      <c r="A15" s="18" t="n"/>
      <c r="B15" s="1" t="inlineStr">
        <is>
          <t>box22</t>
        </is>
      </c>
      <c r="C15" s="14" t="n"/>
      <c r="D15" s="15" t="n"/>
      <c r="E15" s="6" t="n"/>
      <c r="F15" s="1" t="inlineStr">
        <is>
          <t>box23</t>
        </is>
      </c>
      <c r="G15" s="22" t="n">
        <v>0.052</v>
      </c>
      <c r="H15" s="1" t="inlineStr">
        <is>
          <t>box24</t>
        </is>
      </c>
      <c r="I15" s="21" t="n"/>
      <c r="J15" s="15" t="n"/>
      <c r="K15" s="6" t="n"/>
    </row>
    <row r="16">
      <c r="A16" s="13" t="inlineStr">
        <is>
          <t>Modified taxable basis and VAT amounts for the special retail scheme</t>
        </is>
      </c>
      <c r="B16" s="1" t="inlineStr">
        <is>
          <t>box25</t>
        </is>
      </c>
      <c r="C16" s="14" t="n"/>
      <c r="D16" s="15" t="n"/>
      <c r="E16" s="6" t="n"/>
      <c r="F16" s="23" t="n"/>
      <c r="G16" s="6" t="n"/>
      <c r="H16" s="1" t="inlineStr">
        <is>
          <t>box26</t>
        </is>
      </c>
      <c r="I16" s="21" t="n"/>
      <c r="J16" s="15" t="n"/>
      <c r="K16" s="6" t="n"/>
    </row>
    <row r="17">
      <c r="A17" s="24" t="inlineStr">
        <is>
          <t>Total VAT payable</t>
        </is>
      </c>
      <c r="B17" s="15" t="n"/>
      <c r="C17" s="15" t="n"/>
      <c r="D17" s="15" t="n"/>
      <c r="E17" s="15" t="n"/>
      <c r="F17" s="15" t="n"/>
      <c r="G17" s="6" t="n"/>
      <c r="H17" s="1" t="inlineStr">
        <is>
          <t>box27</t>
        </is>
      </c>
      <c r="I17" s="19">
        <f>SUM(I7:K16)</f>
        <v/>
      </c>
      <c r="J17" s="15" t="n"/>
      <c r="K17" s="6" t="n"/>
    </row>
    <row r="18">
      <c r="A18" s="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6" t="n"/>
    </row>
    <row r="19">
      <c r="A19" s="25" t="inlineStr">
        <is>
          <t>Domestic purchases of goods and services</t>
        </is>
      </c>
      <c r="B19" s="26" t="inlineStr">
        <is>
          <t>box28</t>
        </is>
      </c>
      <c r="C19" s="19" t="n"/>
      <c r="D19" s="15" t="n"/>
      <c r="E19" s="15" t="n"/>
      <c r="F19" s="15" t="n"/>
      <c r="G19" s="6" t="n"/>
      <c r="H19" s="26" t="inlineStr">
        <is>
          <t>box29</t>
        </is>
      </c>
      <c r="I19" s="19" t="n"/>
      <c r="J19" s="15" t="n"/>
      <c r="K19" s="6" t="n"/>
    </row>
    <row r="20">
      <c r="A20" s="27" t="inlineStr">
        <is>
          <t>Domestic purchases of investment goods</t>
        </is>
      </c>
      <c r="B20" s="1" t="inlineStr">
        <is>
          <t>box30</t>
        </is>
      </c>
      <c r="C20" s="21" t="n"/>
      <c r="D20" s="15" t="n"/>
      <c r="E20" s="15" t="n"/>
      <c r="F20" s="15" t="n"/>
      <c r="G20" s="6" t="n"/>
      <c r="H20" s="1" t="inlineStr">
        <is>
          <t>box31</t>
        </is>
      </c>
      <c r="I20" s="14" t="n"/>
      <c r="J20" s="15" t="n"/>
      <c r="K20" s="6" t="n"/>
    </row>
    <row r="21">
      <c r="A21" s="27" t="inlineStr">
        <is>
          <t>Imports of goods</t>
        </is>
      </c>
      <c r="B21" s="1" t="inlineStr">
        <is>
          <t>box32</t>
        </is>
      </c>
      <c r="C21" s="14" t="n"/>
      <c r="D21" s="15" t="n"/>
      <c r="E21" s="15" t="n"/>
      <c r="F21" s="15" t="n"/>
      <c r="G21" s="6" t="n"/>
      <c r="H21" s="1" t="inlineStr">
        <is>
          <t>box33</t>
        </is>
      </c>
      <c r="I21" s="14" t="n"/>
      <c r="J21" s="15" t="n"/>
      <c r="K21" s="6" t="n"/>
    </row>
    <row r="22">
      <c r="A22" s="27" t="inlineStr">
        <is>
          <t>Imports of investment goods</t>
        </is>
      </c>
      <c r="B22" s="1" t="inlineStr">
        <is>
          <t>box34</t>
        </is>
      </c>
      <c r="C22" s="14" t="n"/>
      <c r="D22" s="15" t="n"/>
      <c r="E22" s="15" t="n"/>
      <c r="F22" s="15" t="n"/>
      <c r="G22" s="6" t="n"/>
      <c r="H22" s="1" t="inlineStr">
        <is>
          <t>box35</t>
        </is>
      </c>
      <c r="I22" s="14" t="n"/>
      <c r="J22" s="15" t="n"/>
      <c r="K22" s="6" t="n"/>
    </row>
    <row r="23">
      <c r="A23" s="27" t="inlineStr">
        <is>
          <t>Intra-community acquisition of goods and services</t>
        </is>
      </c>
      <c r="B23" s="1" t="inlineStr">
        <is>
          <t>box36</t>
        </is>
      </c>
      <c r="C23" s="19">
        <f>C10</f>
        <v/>
      </c>
      <c r="D23" s="15" t="n"/>
      <c r="E23" s="15" t="n"/>
      <c r="F23" s="15" t="n"/>
      <c r="G23" s="6" t="n"/>
      <c r="H23" s="1" t="inlineStr">
        <is>
          <t>box37</t>
        </is>
      </c>
      <c r="I23" s="19">
        <f>I10</f>
        <v/>
      </c>
      <c r="J23" s="15" t="n"/>
      <c r="K23" s="6" t="n"/>
    </row>
    <row r="24">
      <c r="A24" s="27" t="inlineStr">
        <is>
          <t>Intra-community acquisition of investment goods</t>
        </is>
      </c>
      <c r="B24" s="1" t="inlineStr">
        <is>
          <t>box38</t>
        </is>
      </c>
      <c r="C24" s="14" t="n"/>
      <c r="D24" s="15" t="n"/>
      <c r="E24" s="15" t="n"/>
      <c r="F24" s="15" t="n"/>
      <c r="G24" s="6" t="n"/>
      <c r="H24" s="1" t="inlineStr">
        <is>
          <t>box39</t>
        </is>
      </c>
      <c r="I24" s="14" t="n"/>
      <c r="J24" s="15" t="n"/>
      <c r="K24" s="6" t="n"/>
    </row>
    <row r="25">
      <c r="A25" s="27" t="inlineStr">
        <is>
          <t>Correction of deductions</t>
        </is>
      </c>
      <c r="B25" s="1" t="inlineStr">
        <is>
          <t>box40</t>
        </is>
      </c>
      <c r="C25" s="14" t="n"/>
      <c r="D25" s="15" t="n"/>
      <c r="E25" s="15" t="n"/>
      <c r="F25" s="15" t="n"/>
      <c r="G25" s="6" t="n"/>
      <c r="H25" s="1" t="inlineStr">
        <is>
          <t>box41</t>
        </is>
      </c>
      <c r="I25" s="14" t="n"/>
      <c r="J25" s="15" t="n"/>
      <c r="K25" s="6" t="n"/>
    </row>
    <row r="26">
      <c r="A26" s="5" t="n"/>
      <c r="B26" s="2" t="n"/>
      <c r="C26" s="2" t="n"/>
      <c r="D26" s="2" t="n"/>
      <c r="E26" s="2" t="n"/>
      <c r="F26" s="2" t="n"/>
      <c r="G26" s="3" t="n"/>
      <c r="H26" s="1" t="inlineStr">
        <is>
          <t>box42</t>
        </is>
      </c>
      <c r="I26" s="14" t="n"/>
      <c r="J26" s="15" t="n"/>
      <c r="K26" s="6" t="n"/>
    </row>
    <row r="27">
      <c r="A27" s="7" t="n"/>
      <c r="G27" s="8" t="n"/>
      <c r="H27" s="1" t="inlineStr">
        <is>
          <t>box43</t>
        </is>
      </c>
      <c r="I27" s="14" t="n"/>
      <c r="J27" s="15" t="n"/>
      <c r="K27" s="6" t="n"/>
    </row>
    <row r="28">
      <c r="A28" s="10" t="n"/>
      <c r="B28" s="11" t="n"/>
      <c r="C28" s="11" t="n"/>
      <c r="D28" s="11" t="n"/>
      <c r="E28" s="11" t="n"/>
      <c r="F28" s="11" t="n"/>
      <c r="G28" s="12" t="n"/>
      <c r="H28" s="1" t="inlineStr">
        <is>
          <t>box44</t>
        </is>
      </c>
      <c r="I28" s="14" t="n"/>
      <c r="J28" s="15" t="n"/>
      <c r="K28" s="6" t="n"/>
    </row>
    <row r="29">
      <c r="A29" s="24" t="inlineStr">
        <is>
          <t>Total VAT deductible</t>
        </is>
      </c>
      <c r="B29" s="15" t="n"/>
      <c r="C29" s="15" t="n"/>
      <c r="D29" s="15" t="n"/>
      <c r="E29" s="15" t="n"/>
      <c r="F29" s="15" t="n"/>
      <c r="G29" s="6" t="n"/>
      <c r="H29" s="1" t="inlineStr">
        <is>
          <t>box45</t>
        </is>
      </c>
      <c r="I29" s="19">
        <f>SUM(I19:K28)</f>
        <v/>
      </c>
      <c r="J29" s="15" t="n"/>
      <c r="K29" s="6" t="n"/>
    </row>
    <row r="30">
      <c r="A30" s="24" t="inlineStr">
        <is>
          <t>VAT balance</t>
        </is>
      </c>
      <c r="B30" s="15" t="n"/>
      <c r="C30" s="15" t="n"/>
      <c r="D30" s="15" t="n"/>
      <c r="E30" s="15" t="n"/>
      <c r="F30" s="15" t="n"/>
      <c r="G30" s="6" t="n"/>
      <c r="H30" s="1" t="inlineStr">
        <is>
          <t>box46</t>
        </is>
      </c>
      <c r="I30" s="19">
        <f>I17-I29</f>
        <v/>
      </c>
      <c r="J30" s="15" t="n"/>
      <c r="K30" s="6" t="n"/>
    </row>
    <row r="31">
      <c r="I31" s="28" t="n"/>
      <c r="J31" s="28" t="n"/>
      <c r="K31" s="28" t="n"/>
    </row>
    <row r="32">
      <c r="A32" s="27" t="inlineStr">
        <is>
          <t>Intra-Community supply of goods and services</t>
        </is>
      </c>
      <c r="B32" s="23" t="n"/>
      <c r="C32" s="2" t="n"/>
      <c r="D32" s="2" t="n"/>
      <c r="E32" s="2" t="n"/>
      <c r="F32" s="2" t="n"/>
      <c r="G32" s="3" t="n"/>
      <c r="H32" s="1" t="inlineStr">
        <is>
          <t>box59</t>
        </is>
      </c>
      <c r="I32" s="14" t="n"/>
      <c r="J32" s="15" t="n"/>
      <c r="K32" s="6" t="n"/>
    </row>
    <row r="33">
      <c r="A33" s="27" t="inlineStr">
        <is>
          <t>Export and deemed export transactions</t>
        </is>
      </c>
      <c r="B33" s="7" t="n"/>
      <c r="G33" s="8" t="n"/>
      <c r="H33" s="1" t="inlineStr">
        <is>
          <t>box60</t>
        </is>
      </c>
      <c r="I33" s="14" t="n"/>
      <c r="J33" s="15" t="n"/>
      <c r="K33" s="6" t="n"/>
    </row>
    <row r="34">
      <c r="A34" s="29" t="inlineStr">
        <is>
          <t>Local sales subject to reverse charge</t>
        </is>
      </c>
      <c r="B34" s="10" t="n"/>
      <c r="C34" s="11" t="n"/>
      <c r="D34" s="11" t="n"/>
      <c r="E34" s="11" t="n"/>
      <c r="F34" s="11" t="n"/>
      <c r="G34" s="12" t="n"/>
      <c r="H34" s="1" t="inlineStr">
        <is>
          <t>box122</t>
        </is>
      </c>
      <c r="I34" s="19">
        <f>SUMIFS('Overall VAT Comparison'!$L:$L,'Overall VAT Comparison'!$K:$K,"ES_REG/ES_DSG_0_RC")</f>
        <v/>
      </c>
      <c r="J34" s="15" t="n"/>
      <c r="K34" s="6" t="n"/>
    </row>
    <row r="35">
      <c r="A35" s="5" t="n"/>
      <c r="I35" s="28" t="n"/>
      <c r="J35" s="28" t="n"/>
      <c r="K35" s="28" t="n"/>
    </row>
    <row r="36">
      <c r="A36" s="30" t="inlineStr">
        <is>
          <t>Sum of results</t>
        </is>
      </c>
      <c r="B36" s="31" t="n"/>
      <c r="C36" s="2" t="n"/>
      <c r="D36" s="2" t="n"/>
      <c r="E36" s="2" t="n"/>
      <c r="F36" s="2" t="n"/>
      <c r="G36" s="2" t="n"/>
      <c r="H36" s="1" t="inlineStr">
        <is>
          <t>box64</t>
        </is>
      </c>
      <c r="I36" s="19">
        <f>I17-I29</f>
        <v/>
      </c>
      <c r="J36" s="15" t="n"/>
      <c r="K36" s="6" t="n"/>
    </row>
    <row r="37">
      <c r="A37" s="27" t="inlineStr">
        <is>
          <t>VAT payable/credit to the State</t>
        </is>
      </c>
      <c r="B37" s="32" t="n"/>
      <c r="E37" s="8" t="n"/>
      <c r="F37" s="1" t="inlineStr">
        <is>
          <t>box65</t>
        </is>
      </c>
      <c r="G37" s="16" t="n">
        <v>1</v>
      </c>
      <c r="H37" s="1" t="inlineStr">
        <is>
          <t>box66</t>
        </is>
      </c>
      <c r="I37" s="19">
        <f>I17-I29</f>
        <v/>
      </c>
      <c r="J37" s="15" t="n"/>
      <c r="K37" s="6" t="n"/>
    </row>
    <row r="38">
      <c r="A38" s="30" t="inlineStr">
        <is>
          <t>VAT on importation declared to the customs uponentry</t>
        </is>
      </c>
      <c r="B38" s="33" t="n"/>
      <c r="H38" s="1" t="inlineStr">
        <is>
          <t>box77</t>
        </is>
      </c>
      <c r="I38" s="14" t="n"/>
      <c r="J38" s="15" t="n"/>
      <c r="K38" s="6" t="n"/>
    </row>
    <row r="39">
      <c r="A39" s="30" t="inlineStr">
        <is>
          <t>Carried forward from previous period</t>
        </is>
      </c>
      <c r="B39" s="7" t="n"/>
      <c r="H39" s="1" t="inlineStr">
        <is>
          <t>box110</t>
        </is>
      </c>
      <c r="I39" s="14" t="n"/>
      <c r="J39" s="15" t="n"/>
      <c r="K39" s="6" t="n"/>
    </row>
    <row r="40">
      <c r="A40" s="30" t="inlineStr">
        <is>
          <t>Carried forward used in this period</t>
        </is>
      </c>
      <c r="B40" s="7" t="n"/>
      <c r="H40" s="1" t="inlineStr">
        <is>
          <t>box78</t>
        </is>
      </c>
      <c r="I40" s="14" t="n"/>
      <c r="J40" s="15" t="n"/>
      <c r="K40" s="6" t="n"/>
    </row>
    <row r="41">
      <c r="A41" s="34" t="inlineStr">
        <is>
          <t>Carriedforward for the future periods</t>
        </is>
      </c>
      <c r="B41" s="7" t="n"/>
      <c r="H41" s="1" t="inlineStr">
        <is>
          <t>box87</t>
        </is>
      </c>
      <c r="I41" s="14" t="n"/>
      <c r="J41" s="15" t="n"/>
      <c r="K41" s="6" t="n"/>
    </row>
    <row r="42">
      <c r="A42" s="24" t="inlineStr">
        <is>
          <t>Total VAT amount</t>
        </is>
      </c>
      <c r="B42" s="15" t="n"/>
      <c r="C42" s="15" t="n"/>
      <c r="D42" s="15" t="n"/>
      <c r="E42" s="15" t="n"/>
      <c r="F42" s="15" t="n"/>
      <c r="G42" s="6" t="n"/>
      <c r="H42" s="1" t="inlineStr">
        <is>
          <t>box69</t>
        </is>
      </c>
      <c r="I42" s="19">
        <f>I37+I38-I40</f>
        <v/>
      </c>
      <c r="J42" s="15" t="n"/>
      <c r="K42" s="6" t="n"/>
    </row>
    <row r="43">
      <c r="I43" s="28" t="n"/>
      <c r="J43" s="28" t="n"/>
      <c r="K43" s="28" t="n"/>
    </row>
    <row r="44">
      <c r="A44" s="24" t="inlineStr">
        <is>
          <t>VAT amount to be paid/ reclaimed</t>
        </is>
      </c>
      <c r="B44" s="15" t="n"/>
      <c r="C44" s="15" t="n"/>
      <c r="D44" s="15" t="n"/>
      <c r="E44" s="15" t="n"/>
      <c r="F44" s="15" t="n"/>
      <c r="G44" s="6" t="n"/>
      <c r="H44" s="1" t="inlineStr">
        <is>
          <t>box71</t>
        </is>
      </c>
      <c r="I44" s="19">
        <f>I37+I38-I40</f>
        <v/>
      </c>
      <c r="J44" s="15" t="n"/>
      <c r="K44" s="6" t="n"/>
    </row>
    <row r="45">
      <c r="H45" s="35" t="n"/>
      <c r="I45" s="35" t="n"/>
      <c r="J45" s="36" t="n"/>
    </row>
  </sheetData>
  <mergeCells count="71">
    <mergeCell ref="I41:K41"/>
    <mergeCell ref="C16:E16"/>
    <mergeCell ref="I16:K16"/>
    <mergeCell ref="I32:K32"/>
    <mergeCell ref="J2:K4"/>
    <mergeCell ref="A17:G17"/>
    <mergeCell ref="A26:G28"/>
    <mergeCell ref="I28:K28"/>
    <mergeCell ref="I22:K22"/>
    <mergeCell ref="C24:G24"/>
    <mergeCell ref="F16:G16"/>
    <mergeCell ref="I37:K37"/>
    <mergeCell ref="C9:E9"/>
    <mergeCell ref="J1:K1"/>
    <mergeCell ref="A29:G29"/>
    <mergeCell ref="I12:K12"/>
    <mergeCell ref="I21:K21"/>
    <mergeCell ref="C12:E12"/>
    <mergeCell ref="A13:A15"/>
    <mergeCell ref="A1:G4"/>
    <mergeCell ref="A5:K6"/>
    <mergeCell ref="I33:K33"/>
    <mergeCell ref="A44:G44"/>
    <mergeCell ref="I24:K24"/>
    <mergeCell ref="I42:K42"/>
    <mergeCell ref="C20:G20"/>
    <mergeCell ref="C11:E11"/>
    <mergeCell ref="I14:K14"/>
    <mergeCell ref="I23:K23"/>
    <mergeCell ref="I25:K25"/>
    <mergeCell ref="I39:K39"/>
    <mergeCell ref="C25:G25"/>
    <mergeCell ref="C8:E8"/>
    <mergeCell ref="A30:G30"/>
    <mergeCell ref="I8:K8"/>
    <mergeCell ref="I17:K17"/>
    <mergeCell ref="I20:K20"/>
    <mergeCell ref="I44:K44"/>
    <mergeCell ref="C22:G22"/>
    <mergeCell ref="C7:E7"/>
    <mergeCell ref="I29:K29"/>
    <mergeCell ref="I7:K7"/>
    <mergeCell ref="I38:K38"/>
    <mergeCell ref="I19:K19"/>
    <mergeCell ref="C21:G21"/>
    <mergeCell ref="A18:K18"/>
    <mergeCell ref="I10:K10"/>
    <mergeCell ref="C13:E13"/>
    <mergeCell ref="B36:G36"/>
    <mergeCell ref="I13:K13"/>
    <mergeCell ref="I9:K9"/>
    <mergeCell ref="I40:K40"/>
    <mergeCell ref="I34:K34"/>
    <mergeCell ref="C23:G23"/>
    <mergeCell ref="I30:K30"/>
    <mergeCell ref="C15:E15"/>
    <mergeCell ref="I15:K15"/>
    <mergeCell ref="B38:G41"/>
    <mergeCell ref="I11:K11"/>
    <mergeCell ref="C14:E14"/>
    <mergeCell ref="A7:A9"/>
    <mergeCell ref="I36:K36"/>
    <mergeCell ref="B32:G34"/>
    <mergeCell ref="H1:I4"/>
    <mergeCell ref="I27:K27"/>
    <mergeCell ref="C19:G19"/>
    <mergeCell ref="I26:K26"/>
    <mergeCell ref="B37:E37"/>
    <mergeCell ref="F10:G12"/>
    <mergeCell ref="A42:G4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7" t="inlineStr">
        <is>
          <t>Doc type</t>
        </is>
      </c>
      <c r="B1" s="37" t="inlineStr">
        <is>
          <t>Invoice No.</t>
        </is>
      </c>
      <c r="C1" s="37" t="inlineStr">
        <is>
          <t>Invoice Date</t>
        </is>
      </c>
      <c r="D1" s="37" t="inlineStr">
        <is>
          <t>Registered Date / Invoice Creation Date:</t>
        </is>
      </c>
      <c r="E1" s="37" t="inlineStr">
        <is>
          <t>Delivery Date</t>
        </is>
      </c>
      <c r="F1" s="37" t="inlineStr">
        <is>
          <t>Incoterm</t>
        </is>
      </c>
      <c r="G1" s="37" t="inlineStr">
        <is>
          <t>Customer/Supplier No</t>
        </is>
      </c>
      <c r="H1" s="37" t="inlineStr">
        <is>
          <t>Customer/Supplier</t>
        </is>
      </c>
      <c r="I1" s="37" t="inlineStr">
        <is>
          <t>Our Tax Registration No.</t>
        </is>
      </c>
      <c r="J1" s="37" t="inlineStr">
        <is>
          <t>VAT Registration No.</t>
        </is>
      </c>
      <c r="K1" s="37" t="inlineStr">
        <is>
          <t>Tax Code</t>
        </is>
      </c>
      <c r="L1" s="37" t="inlineStr">
        <is>
          <t>Taxable Amt (Tax Curr)</t>
        </is>
      </c>
      <c r="M1" s="37" t="inlineStr">
        <is>
          <t>Recoverable Amt (Tax Curr)</t>
        </is>
      </c>
      <c r="N1" s="37" t="inlineStr">
        <is>
          <t>Func Total</t>
        </is>
      </c>
      <c r="O1" s="37" t="inlineStr">
        <is>
          <t>Inv Curr</t>
        </is>
      </c>
      <c r="P1" s="37" t="inlineStr">
        <is>
          <t>VAT rate %</t>
        </is>
      </c>
      <c r="Q1" s="37" t="inlineStr">
        <is>
          <t>Mapping</t>
        </is>
      </c>
      <c r="R1" s="37" t="inlineStr">
        <is>
          <t>Comments</t>
        </is>
      </c>
      <c r="S1" s="37" t="inlineStr">
        <is>
          <t>VAT Status</t>
        </is>
      </c>
    </row>
    <row r="2">
      <c r="A2" t="inlineStr">
        <is>
          <t>Credit note</t>
        </is>
      </c>
      <c r="B2" t="inlineStr">
        <is>
          <t>283268200004</t>
        </is>
      </c>
      <c r="C2" s="38" t="n">
        <v>46063</v>
      </c>
      <c r="D2" s="38" t="n">
        <v>46063</v>
      </c>
      <c r="E2" s="38" t="n">
        <v>46062</v>
      </c>
      <c r="F2" t="inlineStr">
        <is>
          <t>DAP</t>
        </is>
      </c>
      <c r="G2" t="n">
        <v>70590</v>
      </c>
      <c r="H2" t="inlineStr">
        <is>
          <t>HUF ESPANA S.A.</t>
        </is>
      </c>
      <c r="I2" t="inlineStr">
        <is>
          <t>ESW0394952F</t>
        </is>
      </c>
      <c r="J2" t="inlineStr">
        <is>
          <t xml:space="preserve">ES A08806812 </t>
        </is>
      </c>
      <c r="K2" t="inlineStr">
        <is>
          <t>ES_REG/DSG_21</t>
        </is>
      </c>
      <c r="L2" t="n">
        <v>-928</v>
      </c>
      <c r="M2" t="n">
        <v>-194.88</v>
      </c>
      <c r="N2" t="n">
        <v>0</v>
      </c>
      <c r="O2" t="inlineStr">
        <is>
          <t>EUR</t>
        </is>
      </c>
      <c r="P2" t="n">
        <v>21</v>
      </c>
      <c r="Q2" t="inlineStr">
        <is>
          <t>Domestic sale of Goods</t>
        </is>
      </c>
      <c r="R2" s="39" t="inlineStr">
        <is>
          <t>(Johnson -Corp-Common-Creditors &amp; Accr \- VAT / -External-NL VAT Payable-Default_283-00-0000-32310000-000-46685-000)_Value Not Matching</t>
        </is>
      </c>
      <c r="S2">
        <f>IFERROR(VLOOKUP(TRIM(J2),'VAT Validation'!A:B,2,FALSE),"")</f>
        <v/>
      </c>
    </row>
    <row r="3">
      <c r="A3" t="inlineStr">
        <is>
          <t>Credit note</t>
        </is>
      </c>
      <c r="B3" t="inlineStr">
        <is>
          <t>283268200007</t>
        </is>
      </c>
      <c r="C3" s="38" t="n">
        <v>46076</v>
      </c>
      <c r="D3" s="38" t="n">
        <v>46076</v>
      </c>
      <c r="E3" s="38" t="n">
        <v>46076</v>
      </c>
      <c r="F3" t="inlineStr">
        <is>
          <t>DDP</t>
        </is>
      </c>
      <c r="G3" t="n">
        <v>33644</v>
      </c>
      <c r="H3" t="inlineStr">
        <is>
          <t>ERMEC S.L.</t>
        </is>
      </c>
      <c r="I3" t="inlineStr">
        <is>
          <t>ESW0394952F</t>
        </is>
      </c>
      <c r="J3" s="40" t="n"/>
      <c r="K3" t="inlineStr">
        <is>
          <t>ES_REG/DSG_21</t>
        </is>
      </c>
      <c r="L3" t="n">
        <v>-8000</v>
      </c>
      <c r="M3" t="n">
        <v>-1680</v>
      </c>
      <c r="N3" t="n">
        <v>-1680</v>
      </c>
      <c r="O3" t="inlineStr">
        <is>
          <t>EUR</t>
        </is>
      </c>
      <c r="P3" t="n">
        <v>21</v>
      </c>
      <c r="Q3" t="inlineStr">
        <is>
          <t>Domestic sale of Goods</t>
        </is>
      </c>
      <c r="R3" t="inlineStr">
        <is>
          <t>Okay-Value Matching</t>
        </is>
      </c>
      <c r="S3">
        <f>IFERROR(VLOOKUP(TRIM(J3),'VAT Validation'!A:B,2,FALSE),"")</f>
        <v/>
      </c>
    </row>
    <row r="4">
      <c r="A4" t="inlineStr">
        <is>
          <t>Credit note</t>
        </is>
      </c>
      <c r="B4" t="inlineStr">
        <is>
          <t>283268200005</t>
        </is>
      </c>
      <c r="C4" s="38" t="n">
        <v>46069</v>
      </c>
      <c r="D4" s="38" t="n">
        <v>46069</v>
      </c>
      <c r="E4" s="38" t="n">
        <v>46069</v>
      </c>
      <c r="F4" t="inlineStr">
        <is>
          <t>DDP</t>
        </is>
      </c>
      <c r="G4" t="n">
        <v>11674</v>
      </c>
      <c r="H4" t="inlineStr">
        <is>
          <t>REPA IBERIA SLU</t>
        </is>
      </c>
      <c r="I4" t="inlineStr">
        <is>
          <t>ESW0394952F</t>
        </is>
      </c>
      <c r="J4" s="40" t="n"/>
      <c r="K4" t="inlineStr">
        <is>
          <t>ES_REG/DSG_21</t>
        </is>
      </c>
      <c r="L4" t="n">
        <v>-14421</v>
      </c>
      <c r="M4" t="n">
        <v>-3028.41</v>
      </c>
      <c r="N4" t="n">
        <v>-3028.41</v>
      </c>
      <c r="O4" t="inlineStr">
        <is>
          <t>EUR</t>
        </is>
      </c>
      <c r="P4" t="n">
        <v>21</v>
      </c>
      <c r="Q4" t="inlineStr">
        <is>
          <t>Domestic sale of Goods</t>
        </is>
      </c>
      <c r="R4" t="inlineStr">
        <is>
          <t>Okay-Value Matching</t>
        </is>
      </c>
      <c r="S4">
        <f>IFERROR(VLOOKUP(TRIM(J4),'VAT Validation'!A:B,2,FALSE),"")</f>
        <v/>
      </c>
    </row>
    <row r="5">
      <c r="A5" t="inlineStr">
        <is>
          <t>Credit note</t>
        </is>
      </c>
      <c r="B5" t="inlineStr">
        <is>
          <t>283268200003</t>
        </is>
      </c>
      <c r="C5" s="38" t="n">
        <v>46056</v>
      </c>
      <c r="D5" s="38" t="n">
        <v>46056</v>
      </c>
      <c r="E5" s="38" t="n">
        <v>46051</v>
      </c>
      <c r="F5" t="inlineStr">
        <is>
          <t>DDP</t>
        </is>
      </c>
      <c r="G5" t="n">
        <v>35184</v>
      </c>
      <c r="H5" t="inlineStr">
        <is>
          <t>CLR COMPANIA LEVANTINA DE REDUCTORES</t>
        </is>
      </c>
      <c r="I5" t="inlineStr">
        <is>
          <t>ESW0394952F</t>
        </is>
      </c>
      <c r="J5" t="inlineStr">
        <is>
          <t xml:space="preserve">ESB03933835 </t>
        </is>
      </c>
      <c r="K5" t="inlineStr">
        <is>
          <t>ES_REG/DSG_21</t>
        </is>
      </c>
      <c r="L5" t="n">
        <v>-3985.92</v>
      </c>
      <c r="M5" t="n">
        <v>-837.04</v>
      </c>
      <c r="N5" t="n">
        <v>0</v>
      </c>
      <c r="O5" t="inlineStr">
        <is>
          <t>EUR</t>
        </is>
      </c>
      <c r="P5" t="n">
        <v>21</v>
      </c>
      <c r="Q5" t="inlineStr">
        <is>
          <t>Domestic sale of Goods</t>
        </is>
      </c>
      <c r="R5" s="39" t="inlineStr">
        <is>
          <t>(Johnson -Corp-Common-Creditors &amp; Accr \- VAT / -External-NL VAT Payable-Default_283-00-0000-32310000-000-46685-000)_Value Not Matching</t>
        </is>
      </c>
      <c r="S5">
        <f>IFERROR(VLOOKUP(TRIM(J5),'VAT Validation'!A:B,2,FALSE),"")</f>
        <v/>
      </c>
    </row>
    <row r="6">
      <c r="A6" t="inlineStr">
        <is>
          <t>Credit note</t>
        </is>
      </c>
      <c r="B6" t="inlineStr">
        <is>
          <t>283268200009</t>
        </is>
      </c>
      <c r="C6" s="38" t="n">
        <v>46077</v>
      </c>
      <c r="D6" s="38" t="n">
        <v>46077</v>
      </c>
      <c r="E6" s="38" t="n">
        <v>46077</v>
      </c>
      <c r="F6" t="inlineStr">
        <is>
          <t>DDP</t>
        </is>
      </c>
      <c r="G6" t="n">
        <v>11674</v>
      </c>
      <c r="H6" t="inlineStr">
        <is>
          <t>REPA IBERIA SLU</t>
        </is>
      </c>
      <c r="I6" t="inlineStr">
        <is>
          <t>ESW0394952F</t>
        </is>
      </c>
      <c r="J6" s="40" t="n"/>
      <c r="K6" t="inlineStr">
        <is>
          <t>ES_REG/DSG_21</t>
        </is>
      </c>
      <c r="L6" t="n">
        <v>-3710</v>
      </c>
      <c r="M6" t="n">
        <v>-779.1</v>
      </c>
      <c r="N6" t="n">
        <v>-779.1</v>
      </c>
      <c r="O6" t="inlineStr">
        <is>
          <t>EUR</t>
        </is>
      </c>
      <c r="P6" t="n">
        <v>21</v>
      </c>
      <c r="Q6" t="inlineStr">
        <is>
          <t>Domestic sale of Goods</t>
        </is>
      </c>
      <c r="R6" t="inlineStr">
        <is>
          <t>Okay-Value Matching</t>
        </is>
      </c>
      <c r="S6">
        <f>IFERROR(VLOOKUP(TRIM(J6),'VAT Validation'!A:B,2,FALSE),"")</f>
        <v/>
      </c>
    </row>
    <row r="7">
      <c r="A7" t="inlineStr">
        <is>
          <t>Credit note</t>
        </is>
      </c>
      <c r="B7" t="inlineStr">
        <is>
          <t>283268200008</t>
        </is>
      </c>
      <c r="C7" s="38" t="n">
        <v>46076</v>
      </c>
      <c r="D7" s="38" t="n">
        <v>46076</v>
      </c>
      <c r="E7" s="38" t="n">
        <v>46073</v>
      </c>
      <c r="F7" t="inlineStr">
        <is>
          <t>DDP</t>
        </is>
      </c>
      <c r="G7" t="n">
        <v>70272</v>
      </c>
      <c r="H7" t="inlineStr">
        <is>
          <t>OCTÉ ELECTRIC, S.A.U.</t>
        </is>
      </c>
      <c r="I7" t="inlineStr">
        <is>
          <t>ESW0394952F</t>
        </is>
      </c>
      <c r="J7" t="inlineStr">
        <is>
          <t xml:space="preserve">ESA20025136 </t>
        </is>
      </c>
      <c r="K7" t="inlineStr">
        <is>
          <t>ES_REG/DSG_21</t>
        </is>
      </c>
      <c r="L7" t="n">
        <v>-13050</v>
      </c>
      <c r="M7" t="n">
        <v>-2740.5</v>
      </c>
      <c r="N7" t="n">
        <v>-2740.5</v>
      </c>
      <c r="O7" t="inlineStr">
        <is>
          <t>EUR</t>
        </is>
      </c>
      <c r="P7" t="n">
        <v>21</v>
      </c>
      <c r="Q7" t="inlineStr">
        <is>
          <t>Domestic sale of Goods</t>
        </is>
      </c>
      <c r="R7" t="inlineStr">
        <is>
          <t>Okay-Value Matching</t>
        </is>
      </c>
      <c r="S7">
        <f>IFERROR(VLOOKUP(TRIM(J7),'VAT Validation'!A:B,2,FALSE),"")</f>
        <v/>
      </c>
    </row>
    <row r="8">
      <c r="A8" t="inlineStr">
        <is>
          <t>Credit note</t>
        </is>
      </c>
      <c r="B8" t="inlineStr">
        <is>
          <t>283268200002</t>
        </is>
      </c>
      <c r="C8" s="38" t="n">
        <v>46056</v>
      </c>
      <c r="D8" s="38" t="n">
        <v>46056</v>
      </c>
      <c r="E8" s="38" t="n">
        <v>46050</v>
      </c>
      <c r="F8" t="inlineStr">
        <is>
          <t>DDP</t>
        </is>
      </c>
      <c r="G8" t="n">
        <v>35184</v>
      </c>
      <c r="H8" t="inlineStr">
        <is>
          <t>CLR COMPANIA LEVANTINA DE REDUCTORES</t>
        </is>
      </c>
      <c r="I8" t="inlineStr">
        <is>
          <t>ESW0394952F</t>
        </is>
      </c>
      <c r="J8" t="inlineStr">
        <is>
          <t xml:space="preserve">ESB03933835 </t>
        </is>
      </c>
      <c r="K8" t="inlineStr">
        <is>
          <t>ES_REG/DSG_21</t>
        </is>
      </c>
      <c r="L8" t="n">
        <v>-3985.92</v>
      </c>
      <c r="M8" t="n">
        <v>-837.04</v>
      </c>
      <c r="N8" t="n">
        <v>0</v>
      </c>
      <c r="O8" t="inlineStr">
        <is>
          <t>EUR</t>
        </is>
      </c>
      <c r="P8" t="n">
        <v>21</v>
      </c>
      <c r="Q8" t="inlineStr">
        <is>
          <t>Domestic sale of Goods</t>
        </is>
      </c>
      <c r="R8" s="39" t="inlineStr">
        <is>
          <t>(Johnson -Corp-Common-Creditors &amp; Accr \- VAT / -External-NL VAT Payable-Default_283-00-0000-32310000-000-46685-000)_Value Not Matching</t>
        </is>
      </c>
      <c r="S8">
        <f>IFERROR(VLOOKUP(TRIM(J8),'VAT Validation'!A:B,2,FALSE),"")</f>
        <v/>
      </c>
    </row>
    <row r="9">
      <c r="A9" t="inlineStr">
        <is>
          <t>Credit note</t>
        </is>
      </c>
      <c r="B9" t="inlineStr">
        <is>
          <t>283268200006</t>
        </is>
      </c>
      <c r="C9" s="38" t="n">
        <v>46073</v>
      </c>
      <c r="D9" s="38" t="n">
        <v>46073</v>
      </c>
      <c r="E9" s="38" t="n">
        <v>46073</v>
      </c>
      <c r="F9" t="inlineStr">
        <is>
          <t>DDP</t>
        </is>
      </c>
      <c r="G9" t="n">
        <v>11674</v>
      </c>
      <c r="H9" t="inlineStr">
        <is>
          <t>REPA IBERIA SLU</t>
        </is>
      </c>
      <c r="I9" t="inlineStr">
        <is>
          <t>ESW0394952F</t>
        </is>
      </c>
      <c r="J9" s="40" t="n"/>
      <c r="K9" t="inlineStr">
        <is>
          <t>ES_REG/DSG_21</t>
        </is>
      </c>
      <c r="L9" t="n">
        <v>-12640.8</v>
      </c>
      <c r="M9" t="n">
        <v>-2654.57</v>
      </c>
      <c r="N9" t="n">
        <v>-2654.57</v>
      </c>
      <c r="O9" t="inlineStr">
        <is>
          <t>EUR</t>
        </is>
      </c>
      <c r="P9" t="n">
        <v>21</v>
      </c>
      <c r="Q9" t="inlineStr">
        <is>
          <t>Domestic sale of Goods</t>
        </is>
      </c>
      <c r="R9" t="inlineStr">
        <is>
          <t>Okay-Value Matching</t>
        </is>
      </c>
      <c r="S9">
        <f>IFERROR(VLOOKUP(TRIM(J9),'VAT Validation'!A:B,2,FALSE),"")</f>
        <v/>
      </c>
    </row>
    <row r="10">
      <c r="A10" t="inlineStr">
        <is>
          <t>Invoice</t>
        </is>
      </c>
      <c r="B10" t="inlineStr">
        <is>
          <t>269265003804</t>
        </is>
      </c>
      <c r="C10" s="38" t="n">
        <v>46073</v>
      </c>
      <c r="D10" s="38" t="n">
        <v>46077</v>
      </c>
      <c r="E10" s="38" t="n"/>
      <c r="G10" t="n">
        <v>608760</v>
      </c>
      <c r="H10" t="inlineStr">
        <is>
          <t>JOHNSON ELECTRIC POLAND SP ZOO</t>
        </is>
      </c>
      <c r="I10" t="inlineStr">
        <is>
          <t>ESW0394952F</t>
        </is>
      </c>
      <c r="J10" t="inlineStr">
        <is>
          <t xml:space="preserve">PL6443245867 </t>
        </is>
      </c>
      <c r="K10" t="inlineStr">
        <is>
          <t>ES_REG/ES_ICAG_21_RCR</t>
        </is>
      </c>
      <c r="L10" t="n">
        <v>10073.78</v>
      </c>
      <c r="M10" t="n">
        <v>2115.5</v>
      </c>
      <c r="N10" t="n">
        <v>2115.5</v>
      </c>
      <c r="O10" t="inlineStr">
        <is>
          <t>EUR</t>
        </is>
      </c>
      <c r="P10" t="n">
        <v>21</v>
      </c>
      <c r="Q10" t="inlineStr">
        <is>
          <t>Intra community acquisition of goods - Reverse charge Recoverable</t>
        </is>
      </c>
      <c r="R10" t="inlineStr">
        <is>
          <t>Okay-Value Matching</t>
        </is>
      </c>
      <c r="S10">
        <f>IFERROR(VLOOKUP(TRIM(J10),'VAT Validation'!A:B,2,FALSE),"")</f>
        <v/>
      </c>
    </row>
    <row r="11">
      <c r="A11" t="inlineStr">
        <is>
          <t>Invoice</t>
        </is>
      </c>
      <c r="B11" t="inlineStr">
        <is>
          <t>269265003804</t>
        </is>
      </c>
      <c r="C11" s="38" t="n">
        <v>46073</v>
      </c>
      <c r="D11" s="38" t="n">
        <v>46077</v>
      </c>
      <c r="E11" s="38" t="n"/>
      <c r="G11" t="n">
        <v>608760</v>
      </c>
      <c r="H11" t="inlineStr">
        <is>
          <t>JOHNSON ELECTRIC POLAND SP ZOO</t>
        </is>
      </c>
      <c r="I11" t="inlineStr">
        <is>
          <t>ESW0394952F</t>
        </is>
      </c>
      <c r="J11" t="inlineStr">
        <is>
          <t xml:space="preserve">PL6443245867 </t>
        </is>
      </c>
      <c r="K11" t="inlineStr">
        <is>
          <t>ES_REG/ES_ICAG_21_RCP</t>
        </is>
      </c>
      <c r="L11" t="n">
        <v>0</v>
      </c>
      <c r="M11" t="n">
        <v>-2115.5</v>
      </c>
      <c r="N11" t="n">
        <v>-2115.5</v>
      </c>
      <c r="O11" t="inlineStr">
        <is>
          <t>EUR</t>
        </is>
      </c>
      <c r="P11" t="n">
        <v>0</v>
      </c>
      <c r="Q11" t="inlineStr">
        <is>
          <t>Intra community acquisition of goods- Reverse charge payable</t>
        </is>
      </c>
      <c r="R11" t="inlineStr">
        <is>
          <t>Okay-Value Matching</t>
        </is>
      </c>
      <c r="S11">
        <f>IFERROR(VLOOKUP(TRIM(J11),'VAT Validation'!A:B,2,FALSE),"")</f>
        <v/>
      </c>
    </row>
    <row r="12">
      <c r="A12" t="inlineStr">
        <is>
          <t>Invoice</t>
        </is>
      </c>
      <c r="B12" t="inlineStr">
        <is>
          <t>269265003817</t>
        </is>
      </c>
      <c r="C12" s="38" t="n">
        <v>46073</v>
      </c>
      <c r="D12" s="38" t="n">
        <v>46077</v>
      </c>
      <c r="E12" s="38" t="n"/>
      <c r="G12" t="n">
        <v>608760</v>
      </c>
      <c r="H12" t="inlineStr">
        <is>
          <t>JOHNSON ELECTRIC POLAND SP ZOO</t>
        </is>
      </c>
      <c r="I12" t="inlineStr">
        <is>
          <t>ESW0394952F</t>
        </is>
      </c>
      <c r="J12" t="inlineStr">
        <is>
          <t xml:space="preserve">PL6443245867 </t>
        </is>
      </c>
      <c r="K12" t="inlineStr">
        <is>
          <t>ES_REG/ES_ICAG_21_RCR</t>
        </is>
      </c>
      <c r="L12" t="n">
        <v>8284.790000000001</v>
      </c>
      <c r="M12" t="n">
        <v>1739.81</v>
      </c>
      <c r="N12" t="n">
        <v>1739.81</v>
      </c>
      <c r="O12" t="inlineStr">
        <is>
          <t>EUR</t>
        </is>
      </c>
      <c r="P12" t="n">
        <v>21</v>
      </c>
      <c r="Q12" t="inlineStr">
        <is>
          <t>Intra community acquisition of goods - Reverse charge Recoverable</t>
        </is>
      </c>
      <c r="R12" t="inlineStr">
        <is>
          <t>Okay-Value Matching</t>
        </is>
      </c>
      <c r="S12">
        <f>IFERROR(VLOOKUP(TRIM(J12),'VAT Validation'!A:B,2,FALSE),"")</f>
        <v/>
      </c>
    </row>
    <row r="13">
      <c r="A13" t="inlineStr">
        <is>
          <t>Invoice</t>
        </is>
      </c>
      <c r="B13" t="inlineStr">
        <is>
          <t>269265003830</t>
        </is>
      </c>
      <c r="C13" s="38" t="n">
        <v>46076</v>
      </c>
      <c r="D13" s="38" t="n">
        <v>46077</v>
      </c>
      <c r="E13" s="38" t="n"/>
      <c r="G13" t="n">
        <v>608760</v>
      </c>
      <c r="H13" t="inlineStr">
        <is>
          <t>JOHNSON ELECTRIC POLAND SP ZOO</t>
        </is>
      </c>
      <c r="I13" t="inlineStr">
        <is>
          <t>ESW0394952F</t>
        </is>
      </c>
      <c r="J13" t="inlineStr">
        <is>
          <t xml:space="preserve">PL6443245867 </t>
        </is>
      </c>
      <c r="K13" t="inlineStr">
        <is>
          <t>ES_REG/ES_ICAG_21_RCR</t>
        </is>
      </c>
      <c r="L13" t="n">
        <v>6737</v>
      </c>
      <c r="M13" t="n">
        <v>1414.77</v>
      </c>
      <c r="N13" t="n">
        <v>1414.77</v>
      </c>
      <c r="O13" t="inlineStr">
        <is>
          <t>EUR</t>
        </is>
      </c>
      <c r="P13" t="n">
        <v>21</v>
      </c>
      <c r="Q13" t="inlineStr">
        <is>
          <t>Intra community acquisition of goods - Reverse charge Recoverable</t>
        </is>
      </c>
      <c r="R13" t="inlineStr">
        <is>
          <t>Okay-Value Matching</t>
        </is>
      </c>
      <c r="S13">
        <f>IFERROR(VLOOKUP(TRIM(J13),'VAT Validation'!A:B,2,FALSE),"")</f>
        <v/>
      </c>
    </row>
    <row r="14">
      <c r="A14" t="inlineStr">
        <is>
          <t>Invoice</t>
        </is>
      </c>
      <c r="B14" t="inlineStr">
        <is>
          <t>269265003830</t>
        </is>
      </c>
      <c r="C14" s="38" t="n">
        <v>46076</v>
      </c>
      <c r="D14" s="38" t="n">
        <v>46077</v>
      </c>
      <c r="E14" s="38" t="n"/>
      <c r="G14" t="n">
        <v>608760</v>
      </c>
      <c r="H14" t="inlineStr">
        <is>
          <t>JOHNSON ELECTRIC POLAND SP ZOO</t>
        </is>
      </c>
      <c r="I14" t="inlineStr">
        <is>
          <t>ESW0394952F</t>
        </is>
      </c>
      <c r="J14" t="inlineStr">
        <is>
          <t xml:space="preserve">PL6443245867 </t>
        </is>
      </c>
      <c r="K14" t="inlineStr">
        <is>
          <t>ES_REG/ES_ICAG_21_RCP</t>
        </is>
      </c>
      <c r="L14" t="n">
        <v>0</v>
      </c>
      <c r="M14" t="n">
        <v>-1414.77</v>
      </c>
      <c r="N14" t="n">
        <v>-1414.77</v>
      </c>
      <c r="O14" t="inlineStr">
        <is>
          <t>EUR</t>
        </is>
      </c>
      <c r="P14" t="n">
        <v>0</v>
      </c>
      <c r="Q14" t="inlineStr">
        <is>
          <t>Intra community acquisition of goods- Reverse charge payable</t>
        </is>
      </c>
      <c r="R14" t="inlineStr">
        <is>
          <t>Okay-Value Matching</t>
        </is>
      </c>
      <c r="S14">
        <f>IFERROR(VLOOKUP(TRIM(J14),'VAT Validation'!A:B,2,FALSE),"")</f>
        <v/>
      </c>
    </row>
    <row r="15">
      <c r="A15" t="inlineStr">
        <is>
          <t>Invoice</t>
        </is>
      </c>
      <c r="B15" t="inlineStr">
        <is>
          <t>269265003078</t>
        </is>
      </c>
      <c r="C15" s="38" t="n">
        <v>46062</v>
      </c>
      <c r="D15" s="38" t="n">
        <v>46077</v>
      </c>
      <c r="E15" s="38" t="n"/>
      <c r="G15" t="n">
        <v>608760</v>
      </c>
      <c r="H15" t="inlineStr">
        <is>
          <t>JOHNSON ELECTRIC POLAND SP ZOO</t>
        </is>
      </c>
      <c r="I15" t="inlineStr">
        <is>
          <t>ESW0394952F</t>
        </is>
      </c>
      <c r="J15" t="inlineStr">
        <is>
          <t xml:space="preserve">PL6443245867 </t>
        </is>
      </c>
      <c r="K15" t="inlineStr">
        <is>
          <t>ES_REG/ES_ICAG_21_RCP</t>
        </is>
      </c>
      <c r="L15" t="n">
        <v>0</v>
      </c>
      <c r="M15" t="n">
        <v>-210.68</v>
      </c>
      <c r="N15" t="n">
        <v>-210.68</v>
      </c>
      <c r="O15" t="inlineStr">
        <is>
          <t>EUR</t>
        </is>
      </c>
      <c r="P15" t="n">
        <v>0</v>
      </c>
      <c r="Q15" t="inlineStr">
        <is>
          <t>Intra community acquisition of goods- Reverse charge payable</t>
        </is>
      </c>
      <c r="R15" t="inlineStr">
        <is>
          <t>Okay-Value Matching</t>
        </is>
      </c>
      <c r="S15">
        <f>IFERROR(VLOOKUP(TRIM(J15),'VAT Validation'!A:B,2,FALSE),"")</f>
        <v/>
      </c>
    </row>
    <row r="16">
      <c r="A16" t="inlineStr">
        <is>
          <t>Invoice</t>
        </is>
      </c>
      <c r="B16" t="inlineStr">
        <is>
          <t>269265003155</t>
        </is>
      </c>
      <c r="C16" s="38" t="n">
        <v>46069</v>
      </c>
      <c r="D16" s="38" t="n">
        <v>46077</v>
      </c>
      <c r="E16" s="38" t="n"/>
      <c r="G16" t="n">
        <v>608760</v>
      </c>
      <c r="H16" t="inlineStr">
        <is>
          <t>JOHNSON ELECTRIC POLAND SP ZOO</t>
        </is>
      </c>
      <c r="I16" t="inlineStr">
        <is>
          <t>ESW0394952F</t>
        </is>
      </c>
      <c r="J16" t="inlineStr">
        <is>
          <t xml:space="preserve">PL6443245867 </t>
        </is>
      </c>
      <c r="K16" t="inlineStr">
        <is>
          <t>ES_REG/ES_ICAG_21_RCR</t>
        </is>
      </c>
      <c r="L16" t="n">
        <v>9789.82</v>
      </c>
      <c r="M16" t="n">
        <v>2055.86</v>
      </c>
      <c r="N16" t="n">
        <v>2055.86</v>
      </c>
      <c r="O16" t="inlineStr">
        <is>
          <t>EUR</t>
        </is>
      </c>
      <c r="P16" t="n">
        <v>21</v>
      </c>
      <c r="Q16" t="inlineStr">
        <is>
          <t>Intra community acquisition of goods - Reverse charge Recoverable</t>
        </is>
      </c>
      <c r="R16" t="inlineStr">
        <is>
          <t>Okay-Value Matching</t>
        </is>
      </c>
      <c r="S16">
        <f>IFERROR(VLOOKUP(TRIM(J16),'VAT Validation'!A:B,2,FALSE),"")</f>
        <v/>
      </c>
    </row>
    <row r="17">
      <c r="A17" t="inlineStr">
        <is>
          <t>Invoice</t>
        </is>
      </c>
      <c r="B17" t="inlineStr">
        <is>
          <t>269265003155</t>
        </is>
      </c>
      <c r="C17" s="38" t="n">
        <v>46069</v>
      </c>
      <c r="D17" s="38" t="n">
        <v>46077</v>
      </c>
      <c r="E17" s="38" t="n"/>
      <c r="G17" t="n">
        <v>608760</v>
      </c>
      <c r="H17" t="inlineStr">
        <is>
          <t>JOHNSON ELECTRIC POLAND SP ZOO</t>
        </is>
      </c>
      <c r="I17" t="inlineStr">
        <is>
          <t>ESW0394952F</t>
        </is>
      </c>
      <c r="J17" t="inlineStr">
        <is>
          <t xml:space="preserve">PL6443245867 </t>
        </is>
      </c>
      <c r="K17" t="inlineStr">
        <is>
          <t>ES_REG/ES_ICAG_21_RCP</t>
        </is>
      </c>
      <c r="L17" t="n">
        <v>0</v>
      </c>
      <c r="M17" t="n">
        <v>-2055.86</v>
      </c>
      <c r="N17" t="n">
        <v>-2055.86</v>
      </c>
      <c r="O17" t="inlineStr">
        <is>
          <t>EUR</t>
        </is>
      </c>
      <c r="P17" t="n">
        <v>0</v>
      </c>
      <c r="Q17" t="inlineStr">
        <is>
          <t>Intra community acquisition of goods- Reverse charge payable</t>
        </is>
      </c>
      <c r="R17" t="inlineStr">
        <is>
          <t>Okay-Value Matching</t>
        </is>
      </c>
      <c r="S17">
        <f>IFERROR(VLOOKUP(TRIM(J17),'VAT Validation'!A:B,2,FALSE),"")</f>
        <v/>
      </c>
    </row>
    <row r="18">
      <c r="A18" t="inlineStr">
        <is>
          <t>Invoice</t>
        </is>
      </c>
      <c r="B18" t="inlineStr">
        <is>
          <t>269265003817</t>
        </is>
      </c>
      <c r="C18" s="38" t="n">
        <v>46073</v>
      </c>
      <c r="D18" s="38" t="n">
        <v>46077</v>
      </c>
      <c r="E18" s="38" t="n"/>
      <c r="G18" t="n">
        <v>608760</v>
      </c>
      <c r="H18" t="inlineStr">
        <is>
          <t>JOHNSON ELECTRIC POLAND SP ZOO</t>
        </is>
      </c>
      <c r="I18" t="inlineStr">
        <is>
          <t>ESW0394952F</t>
        </is>
      </c>
      <c r="J18" t="inlineStr">
        <is>
          <t xml:space="preserve">PL6443245867 </t>
        </is>
      </c>
      <c r="K18" t="inlineStr">
        <is>
          <t>ES_REG/ES_ICAG_21_RCP</t>
        </is>
      </c>
      <c r="L18" t="n">
        <v>0</v>
      </c>
      <c r="M18" t="n">
        <v>-1739.81</v>
      </c>
      <c r="N18" t="n">
        <v>-1739.81</v>
      </c>
      <c r="O18" t="inlineStr">
        <is>
          <t>EUR</t>
        </is>
      </c>
      <c r="P18" t="n">
        <v>0</v>
      </c>
      <c r="Q18" t="inlineStr">
        <is>
          <t>Intra community acquisition of goods- Reverse charge payable</t>
        </is>
      </c>
      <c r="R18" t="inlineStr">
        <is>
          <t>Okay-Value Matching</t>
        </is>
      </c>
      <c r="S18">
        <f>IFERROR(VLOOKUP(TRIM(J18),'VAT Validation'!A:B,2,FALSE),"")</f>
        <v/>
      </c>
    </row>
    <row r="19">
      <c r="A19" t="inlineStr">
        <is>
          <t>Invoice</t>
        </is>
      </c>
      <c r="B19" t="inlineStr">
        <is>
          <t>269265003843</t>
        </is>
      </c>
      <c r="C19" s="38" t="n">
        <v>46077</v>
      </c>
      <c r="D19" s="38" t="n">
        <v>46078</v>
      </c>
      <c r="E19" s="38" t="n"/>
      <c r="G19" t="n">
        <v>608760</v>
      </c>
      <c r="H19" t="inlineStr">
        <is>
          <t>JOHNSON ELECTRIC POLAND SP ZOO</t>
        </is>
      </c>
      <c r="I19" t="inlineStr">
        <is>
          <t>ESW0394952F</t>
        </is>
      </c>
      <c r="J19" t="inlineStr">
        <is>
          <t xml:space="preserve">PL6443245867 </t>
        </is>
      </c>
      <c r="K19" t="inlineStr">
        <is>
          <t>ES_REG/ES_ICAG_21_RCP</t>
        </is>
      </c>
      <c r="L19" t="n">
        <v>0</v>
      </c>
      <c r="M19" t="n">
        <v>-274.96</v>
      </c>
      <c r="N19" t="n">
        <v>-274.96</v>
      </c>
      <c r="O19" t="inlineStr">
        <is>
          <t>EUR</t>
        </is>
      </c>
      <c r="P19" t="n">
        <v>0</v>
      </c>
      <c r="Q19" t="inlineStr">
        <is>
          <t>Intra community acquisition of goods- Reverse charge payable</t>
        </is>
      </c>
      <c r="R19" t="inlineStr">
        <is>
          <t>Okay-Value Matching</t>
        </is>
      </c>
      <c r="S19">
        <f>IFERROR(VLOOKUP(TRIM(J19),'VAT Validation'!A:B,2,FALSE),"")</f>
        <v/>
      </c>
    </row>
    <row r="20">
      <c r="A20" t="inlineStr">
        <is>
          <t>Invoice</t>
        </is>
      </c>
      <c r="B20" t="inlineStr">
        <is>
          <t>269265003078</t>
        </is>
      </c>
      <c r="C20" s="38" t="n">
        <v>46062</v>
      </c>
      <c r="D20" s="38" t="n">
        <v>46077</v>
      </c>
      <c r="E20" s="38" t="n"/>
      <c r="G20" t="n">
        <v>608760</v>
      </c>
      <c r="H20" t="inlineStr">
        <is>
          <t>JOHNSON ELECTRIC POLAND SP ZOO</t>
        </is>
      </c>
      <c r="I20" t="inlineStr">
        <is>
          <t>ESW0394952F</t>
        </is>
      </c>
      <c r="J20" t="inlineStr">
        <is>
          <t xml:space="preserve">PL6443245867 </t>
        </is>
      </c>
      <c r="K20" t="inlineStr">
        <is>
          <t>ES_REG/ES_ICAG_21_RCR</t>
        </is>
      </c>
      <c r="L20" t="n">
        <v>1003.26</v>
      </c>
      <c r="M20" t="n">
        <v>210.68</v>
      </c>
      <c r="N20" t="n">
        <v>210.68</v>
      </c>
      <c r="O20" t="inlineStr">
        <is>
          <t>EUR</t>
        </is>
      </c>
      <c r="P20" t="n">
        <v>21</v>
      </c>
      <c r="Q20" t="inlineStr">
        <is>
          <t>Intra community acquisition of goods - Reverse charge Recoverable</t>
        </is>
      </c>
      <c r="R20" t="inlineStr">
        <is>
          <t>Okay-Value Matching</t>
        </is>
      </c>
      <c r="S20">
        <f>IFERROR(VLOOKUP(TRIM(J20),'VAT Validation'!A:B,2,FALSE),"")</f>
        <v/>
      </c>
    </row>
    <row r="21">
      <c r="A21" t="inlineStr">
        <is>
          <t>Invoice</t>
        </is>
      </c>
      <c r="B21" t="inlineStr">
        <is>
          <t>269265003843</t>
        </is>
      </c>
      <c r="C21" s="38" t="n">
        <v>46077</v>
      </c>
      <c r="D21" s="38" t="n">
        <v>46078</v>
      </c>
      <c r="E21" s="38" t="n"/>
      <c r="G21" t="n">
        <v>608760</v>
      </c>
      <c r="H21" t="inlineStr">
        <is>
          <t>JOHNSON ELECTRIC POLAND SP ZOO</t>
        </is>
      </c>
      <c r="I21" t="inlineStr">
        <is>
          <t>ESW0394952F</t>
        </is>
      </c>
      <c r="J21" t="inlineStr">
        <is>
          <t xml:space="preserve">PL6443245867 </t>
        </is>
      </c>
      <c r="K21" t="inlineStr">
        <is>
          <t>ES_REG/ES_ICAG_21_RCR</t>
        </is>
      </c>
      <c r="L21" t="n">
        <v>1309.35</v>
      </c>
      <c r="M21" t="n">
        <v>274.96</v>
      </c>
      <c r="N21" t="n">
        <v>274.96</v>
      </c>
      <c r="O21" t="inlineStr">
        <is>
          <t>EUR</t>
        </is>
      </c>
      <c r="P21" t="n">
        <v>21</v>
      </c>
      <c r="Q21" t="inlineStr">
        <is>
          <t>Intra community acquisition of goods - Reverse charge Recoverable</t>
        </is>
      </c>
      <c r="R21" t="inlineStr">
        <is>
          <t>Okay-Value Matching</t>
        </is>
      </c>
      <c r="S21">
        <f>IFERROR(VLOOKUP(TRIM(J21),'VAT Validation'!A:B,2,FALSE),"")</f>
        <v/>
      </c>
    </row>
    <row r="22">
      <c r="A22" t="inlineStr">
        <is>
          <t>Credit note</t>
        </is>
      </c>
      <c r="B22" t="inlineStr">
        <is>
          <t>283268200010</t>
        </is>
      </c>
      <c r="C22" s="38" t="n">
        <v>46108</v>
      </c>
      <c r="D22" s="38" t="n">
        <v>46108</v>
      </c>
      <c r="E22" s="38" t="n">
        <v>46108</v>
      </c>
      <c r="F22" t="inlineStr">
        <is>
          <t>DDP</t>
        </is>
      </c>
      <c r="G22" t="n">
        <v>11674</v>
      </c>
      <c r="H22" t="inlineStr">
        <is>
          <t>REPA IBERIA SLU</t>
        </is>
      </c>
      <c r="I22" t="inlineStr">
        <is>
          <t>ESW0394952F</t>
        </is>
      </c>
      <c r="J22" s="40" t="n"/>
      <c r="K22" t="inlineStr">
        <is>
          <t>ES_REG/DSG_21</t>
        </is>
      </c>
      <c r="L22" t="n">
        <v>-8904</v>
      </c>
      <c r="M22" t="n">
        <v>-1869.84</v>
      </c>
      <c r="N22" t="n">
        <v>-1869.84</v>
      </c>
      <c r="O22" t="inlineStr">
        <is>
          <t>EUR</t>
        </is>
      </c>
      <c r="P22" t="n">
        <v>21</v>
      </c>
      <c r="Q22" t="inlineStr">
        <is>
          <t>Domestic sale of Goods</t>
        </is>
      </c>
      <c r="R22" t="inlineStr">
        <is>
          <t>Okay-Value Matching</t>
        </is>
      </c>
      <c r="S22">
        <f>IFERROR(VLOOKUP(TRIM(J22),'VAT Validation'!A:B,2,FALSE),"")</f>
        <v/>
      </c>
    </row>
    <row r="23">
      <c r="A23" t="inlineStr">
        <is>
          <t>Invoice</t>
        </is>
      </c>
      <c r="B23" t="inlineStr">
        <is>
          <t>269265004161</t>
        </is>
      </c>
      <c r="C23" s="38" t="n">
        <v>46108</v>
      </c>
      <c r="D23" s="38" t="n">
        <v>46111</v>
      </c>
      <c r="E23" s="38" t="n"/>
      <c r="G23" t="n">
        <v>608760</v>
      </c>
      <c r="H23" t="inlineStr">
        <is>
          <t>JOHNSON ELECTRIC POLAND SP ZOO</t>
        </is>
      </c>
      <c r="I23" t="inlineStr">
        <is>
          <t>ESW0394952F</t>
        </is>
      </c>
      <c r="J23" t="inlineStr">
        <is>
          <t xml:space="preserve">PL6443245867 </t>
        </is>
      </c>
      <c r="K23" t="inlineStr">
        <is>
          <t>ES_REG/ES_ICAG_21_RCP</t>
        </is>
      </c>
      <c r="L23" t="n">
        <v>0</v>
      </c>
      <c r="M23" t="n">
        <v>-659.91</v>
      </c>
      <c r="N23" t="n">
        <v>-659.91</v>
      </c>
      <c r="O23" t="inlineStr">
        <is>
          <t>EUR</t>
        </is>
      </c>
      <c r="P23" t="n">
        <v>0</v>
      </c>
      <c r="Q23" t="inlineStr">
        <is>
          <t>Intra community acquisition of goods- Reverse charge payable</t>
        </is>
      </c>
      <c r="R23" t="inlineStr">
        <is>
          <t>Okay-Value Matching</t>
        </is>
      </c>
      <c r="S23">
        <f>IFERROR(VLOOKUP(TRIM(J23),'VAT Validation'!A:B,2,FALSE),"")</f>
        <v/>
      </c>
    </row>
    <row r="24">
      <c r="A24" t="inlineStr">
        <is>
          <t>Invoice</t>
        </is>
      </c>
      <c r="B24" t="inlineStr">
        <is>
          <t>269265004054</t>
        </is>
      </c>
      <c r="C24" s="38" t="n">
        <v>46098</v>
      </c>
      <c r="D24" s="38" t="n">
        <v>46101</v>
      </c>
      <c r="E24" s="38" t="n"/>
      <c r="G24" t="n">
        <v>608760</v>
      </c>
      <c r="H24" t="inlineStr">
        <is>
          <t>JOHNSON ELECTRIC POLAND SP ZOO</t>
        </is>
      </c>
      <c r="I24" t="inlineStr">
        <is>
          <t>ESW0394952F</t>
        </is>
      </c>
      <c r="J24" t="inlineStr">
        <is>
          <t xml:space="preserve">PL6443245867 </t>
        </is>
      </c>
      <c r="K24" t="inlineStr">
        <is>
          <t>ES_REG/ES_ICAG_21_RCR</t>
        </is>
      </c>
      <c r="L24" t="n">
        <v>3405.84</v>
      </c>
      <c r="M24" t="n">
        <v>715.23</v>
      </c>
      <c r="N24" t="n">
        <v>715.23</v>
      </c>
      <c r="O24" t="inlineStr">
        <is>
          <t>EUR</t>
        </is>
      </c>
      <c r="P24" t="n">
        <v>21</v>
      </c>
      <c r="Q24" t="inlineStr">
        <is>
          <t>Intra community acquisition of goods - Reverse charge Recoverable</t>
        </is>
      </c>
      <c r="R24" t="inlineStr">
        <is>
          <t>Okay-Value Matching</t>
        </is>
      </c>
      <c r="S24">
        <f>IFERROR(VLOOKUP(TRIM(J24),'VAT Validation'!A:B,2,FALSE),"")</f>
        <v/>
      </c>
    </row>
    <row r="25">
      <c r="A25" t="inlineStr">
        <is>
          <t>Invoice</t>
        </is>
      </c>
      <c r="B25" t="inlineStr">
        <is>
          <t>269265004072</t>
        </is>
      </c>
      <c r="C25" s="38" t="n">
        <v>46099</v>
      </c>
      <c r="D25" s="38" t="n">
        <v>46101</v>
      </c>
      <c r="E25" s="38" t="n"/>
      <c r="G25" t="n">
        <v>608760</v>
      </c>
      <c r="H25" t="inlineStr">
        <is>
          <t>JOHNSON ELECTRIC POLAND SP ZOO</t>
        </is>
      </c>
      <c r="I25" t="inlineStr">
        <is>
          <t>ESW0394952F</t>
        </is>
      </c>
      <c r="J25" t="inlineStr">
        <is>
          <t xml:space="preserve">PL6443245867 </t>
        </is>
      </c>
      <c r="K25" t="inlineStr">
        <is>
          <t>ES_REG/ES_ICAG_21_RCP</t>
        </is>
      </c>
      <c r="L25" t="n">
        <v>0</v>
      </c>
      <c r="M25" t="n">
        <v>-715.23</v>
      </c>
      <c r="N25" t="n">
        <v>-715.23</v>
      </c>
      <c r="O25" t="inlineStr">
        <is>
          <t>EUR</t>
        </is>
      </c>
      <c r="P25" t="n">
        <v>0</v>
      </c>
      <c r="Q25" t="inlineStr">
        <is>
          <t>Intra community acquisition of goods- Reverse charge payable</t>
        </is>
      </c>
      <c r="R25" t="inlineStr">
        <is>
          <t>Okay-Value Matching</t>
        </is>
      </c>
      <c r="S25">
        <f>IFERROR(VLOOKUP(TRIM(J25),'VAT Validation'!A:B,2,FALSE),"")</f>
        <v/>
      </c>
    </row>
    <row r="26">
      <c r="A26" t="inlineStr">
        <is>
          <t>Invoice</t>
        </is>
      </c>
      <c r="B26" t="inlineStr">
        <is>
          <t>269265004161</t>
        </is>
      </c>
      <c r="C26" s="38" t="n">
        <v>46108</v>
      </c>
      <c r="D26" s="38" t="n">
        <v>46111</v>
      </c>
      <c r="E26" s="38" t="n"/>
      <c r="G26" t="n">
        <v>608760</v>
      </c>
      <c r="H26" t="inlineStr">
        <is>
          <t>JOHNSON ELECTRIC POLAND SP ZOO</t>
        </is>
      </c>
      <c r="I26" t="inlineStr">
        <is>
          <t>ESW0394952F</t>
        </is>
      </c>
      <c r="J26" t="inlineStr">
        <is>
          <t xml:space="preserve">PL6443245867 </t>
        </is>
      </c>
      <c r="K26" t="inlineStr">
        <is>
          <t>ES_REG/ES_ICAG_21_RCR</t>
        </is>
      </c>
      <c r="L26" t="n">
        <v>3142.45</v>
      </c>
      <c r="M26" t="n">
        <v>659.91</v>
      </c>
      <c r="N26" t="n">
        <v>659.91</v>
      </c>
      <c r="O26" t="inlineStr">
        <is>
          <t>EUR</t>
        </is>
      </c>
      <c r="P26" t="n">
        <v>21</v>
      </c>
      <c r="Q26" t="inlineStr">
        <is>
          <t>Intra community acquisition of goods - Reverse charge Recoverable</t>
        </is>
      </c>
      <c r="R26" t="inlineStr">
        <is>
          <t>Okay-Value Matching</t>
        </is>
      </c>
      <c r="S26">
        <f>IFERROR(VLOOKUP(TRIM(J26),'VAT Validation'!A:B,2,FALSE),"")</f>
        <v/>
      </c>
    </row>
    <row r="27">
      <c r="A27" t="inlineStr">
        <is>
          <t>Invoice</t>
        </is>
      </c>
      <c r="B27" t="inlineStr">
        <is>
          <t>269265004054</t>
        </is>
      </c>
      <c r="C27" s="38" t="n">
        <v>46098</v>
      </c>
      <c r="D27" s="38" t="n">
        <v>46101</v>
      </c>
      <c r="E27" s="38" t="n"/>
      <c r="G27" t="n">
        <v>608760</v>
      </c>
      <c r="H27" t="inlineStr">
        <is>
          <t>JOHNSON ELECTRIC POLAND SP ZOO</t>
        </is>
      </c>
      <c r="I27" t="inlineStr">
        <is>
          <t>ESW0394952F</t>
        </is>
      </c>
      <c r="J27" t="inlineStr">
        <is>
          <t xml:space="preserve">PL6443245867 </t>
        </is>
      </c>
      <c r="K27" t="inlineStr">
        <is>
          <t>ES_REG/ES_ICAG_21_RCP</t>
        </is>
      </c>
      <c r="L27" t="n">
        <v>0</v>
      </c>
      <c r="M27" t="n">
        <v>-715.23</v>
      </c>
      <c r="N27" t="n">
        <v>-715.23</v>
      </c>
      <c r="O27" t="inlineStr">
        <is>
          <t>EUR</t>
        </is>
      </c>
      <c r="P27" t="n">
        <v>0</v>
      </c>
      <c r="Q27" t="inlineStr">
        <is>
          <t>Intra community acquisition of goods- Reverse charge payable</t>
        </is>
      </c>
      <c r="R27" t="inlineStr">
        <is>
          <t>Okay-Value Matching</t>
        </is>
      </c>
      <c r="S27">
        <f>IFERROR(VLOOKUP(TRIM(J27),'VAT Validation'!A:B,2,FALSE),"")</f>
        <v/>
      </c>
    </row>
    <row r="28">
      <c r="A28" t="inlineStr">
        <is>
          <t>Invoice</t>
        </is>
      </c>
      <c r="B28" t="inlineStr">
        <is>
          <t>269265004072</t>
        </is>
      </c>
      <c r="C28" s="38" t="n">
        <v>46099</v>
      </c>
      <c r="D28" s="38" t="n">
        <v>46101</v>
      </c>
      <c r="E28" s="38" t="n"/>
      <c r="G28" t="n">
        <v>608760</v>
      </c>
      <c r="H28" t="inlineStr">
        <is>
          <t>JOHNSON ELECTRIC POLAND SP ZOO</t>
        </is>
      </c>
      <c r="I28" t="inlineStr">
        <is>
          <t>ESW0394952F</t>
        </is>
      </c>
      <c r="J28" t="inlineStr">
        <is>
          <t xml:space="preserve">PL6443245867 </t>
        </is>
      </c>
      <c r="K28" t="inlineStr">
        <is>
          <t>ES_REG/ES_ICAG_21_RCR</t>
        </is>
      </c>
      <c r="L28" t="n">
        <v>3405.84</v>
      </c>
      <c r="M28" t="n">
        <v>715.23</v>
      </c>
      <c r="N28" t="n">
        <v>715.23</v>
      </c>
      <c r="O28" t="inlineStr">
        <is>
          <t>EUR</t>
        </is>
      </c>
      <c r="P28" t="n">
        <v>21</v>
      </c>
      <c r="Q28" t="inlineStr">
        <is>
          <t>Intra community acquisition of goods - Reverse charge Recoverable</t>
        </is>
      </c>
      <c r="R28" t="inlineStr">
        <is>
          <t>Okay-Value Matching</t>
        </is>
      </c>
      <c r="S28">
        <f>IFERROR(VLOOKUP(TRIM(J28),'VAT Validation'!A:B,2,FALSE),"")</f>
        <v/>
      </c>
    </row>
    <row r="29">
      <c r="A29" t="inlineStr">
        <is>
          <t>Credit note</t>
        </is>
      </c>
      <c r="B29" t="inlineStr">
        <is>
          <t>283268200001</t>
        </is>
      </c>
      <c r="C29" s="38" t="n">
        <v>46034</v>
      </c>
      <c r="D29" s="38" t="n">
        <v>46034</v>
      </c>
      <c r="E29" s="38" t="n">
        <v>46031</v>
      </c>
      <c r="F29" t="inlineStr">
        <is>
          <t>DAP</t>
        </is>
      </c>
      <c r="G29" t="n">
        <v>70590</v>
      </c>
      <c r="H29" t="inlineStr">
        <is>
          <t>HUF ESPANA S.A.</t>
        </is>
      </c>
      <c r="I29" t="inlineStr">
        <is>
          <t>ESW0394952F</t>
        </is>
      </c>
      <c r="J29" t="inlineStr">
        <is>
          <t xml:space="preserve">ES A08806812 </t>
        </is>
      </c>
      <c r="K29" t="inlineStr">
        <is>
          <t>ES_REG/DSG_21</t>
        </is>
      </c>
      <c r="L29" t="n">
        <v>-3628.8</v>
      </c>
      <c r="M29" t="n">
        <v>-762.05</v>
      </c>
      <c r="N29" t="n">
        <v>0</v>
      </c>
      <c r="O29" t="inlineStr">
        <is>
          <t>EUR</t>
        </is>
      </c>
      <c r="P29" t="n">
        <v>21</v>
      </c>
      <c r="Q29" t="inlineStr">
        <is>
          <t>Domestic sale of Goods</t>
        </is>
      </c>
      <c r="R29" s="39" t="inlineStr">
        <is>
          <t>(Johnson -Corp-Common-Creditors &amp; Accr \- VAT / -External-NL VAT Payable-Default_283-00-0000-32310000-000-46685-000)_Value Not Matching</t>
        </is>
      </c>
      <c r="S29">
        <f>IFERROR(VLOOKUP(TRIM(J29),'VAT Validation'!A:B,2,FALSE),"")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7" t="inlineStr">
        <is>
          <t>Doc type</t>
        </is>
      </c>
      <c r="B1" s="37" t="inlineStr">
        <is>
          <t>Invoice No.</t>
        </is>
      </c>
      <c r="C1" s="37" t="inlineStr">
        <is>
          <t>Invoice Date</t>
        </is>
      </c>
      <c r="D1" s="37" t="inlineStr">
        <is>
          <t>Registered Date / Invoice Creation Date:</t>
        </is>
      </c>
      <c r="E1" s="37" t="inlineStr">
        <is>
          <t>Delivery Date</t>
        </is>
      </c>
      <c r="F1" s="37" t="inlineStr">
        <is>
          <t>Incoterm</t>
        </is>
      </c>
      <c r="G1" s="37" t="inlineStr">
        <is>
          <t>Customer/Supplier No</t>
        </is>
      </c>
      <c r="H1" s="37" t="inlineStr">
        <is>
          <t>Customer/Supplier</t>
        </is>
      </c>
      <c r="I1" s="37" t="inlineStr">
        <is>
          <t>Our Tax Registration No.</t>
        </is>
      </c>
      <c r="J1" s="37" t="inlineStr">
        <is>
          <t>VAT Registration No.</t>
        </is>
      </c>
      <c r="K1" s="37" t="inlineStr">
        <is>
          <t>Tax Code</t>
        </is>
      </c>
      <c r="L1" s="37" t="inlineStr">
        <is>
          <t>Taxable Amt (Tax Curr)</t>
        </is>
      </c>
      <c r="M1" s="37" t="inlineStr">
        <is>
          <t>Recoverable Amt (Tax Curr)</t>
        </is>
      </c>
      <c r="N1" s="37" t="inlineStr">
        <is>
          <t>Func Total</t>
        </is>
      </c>
      <c r="O1" s="37" t="inlineStr">
        <is>
          <t>Inv Curr</t>
        </is>
      </c>
      <c r="P1" s="37" t="inlineStr">
        <is>
          <t>VAT rate %</t>
        </is>
      </c>
      <c r="Q1" s="37" t="inlineStr">
        <is>
          <t>Mapping</t>
        </is>
      </c>
      <c r="R1" s="37" t="inlineStr">
        <is>
          <t>Comments</t>
        </is>
      </c>
      <c r="S1" s="37" t="inlineStr">
        <is>
          <t>VAT Status</t>
        </is>
      </c>
    </row>
    <row r="2">
      <c r="A2" t="inlineStr">
        <is>
          <t>Invoice</t>
        </is>
      </c>
      <c r="B2" t="inlineStr">
        <is>
          <t>269265003804</t>
        </is>
      </c>
      <c r="C2" s="38" t="n">
        <v>46073</v>
      </c>
      <c r="D2" s="38" t="n">
        <v>46077</v>
      </c>
      <c r="E2" s="38" t="n"/>
      <c r="G2" t="n">
        <v>608760</v>
      </c>
      <c r="H2" t="inlineStr">
        <is>
          <t>JOHNSON ELECTRIC POLAND SP ZOO</t>
        </is>
      </c>
      <c r="I2" t="inlineStr">
        <is>
          <t>ESW0394952F</t>
        </is>
      </c>
      <c r="J2" t="inlineStr">
        <is>
          <t xml:space="preserve">PL6443245867 </t>
        </is>
      </c>
      <c r="K2" t="inlineStr">
        <is>
          <t>ES_REG/ES_ICAG_21_RCR</t>
        </is>
      </c>
      <c r="L2" t="n">
        <v>10073.78</v>
      </c>
      <c r="M2" t="n">
        <v>2115.5</v>
      </c>
      <c r="N2" t="n">
        <v>2115.5</v>
      </c>
      <c r="O2" t="inlineStr">
        <is>
          <t>EUR</t>
        </is>
      </c>
      <c r="P2" t="n">
        <v>21</v>
      </c>
      <c r="Q2" t="inlineStr">
        <is>
          <t>Intra community acquisition of goods - Reverse charge Recoverable</t>
        </is>
      </c>
      <c r="R2" t="inlineStr">
        <is>
          <t>Okay-Value Matching</t>
        </is>
      </c>
      <c r="S2">
        <f>IFERROR(VLOOKUP(TRIM(J2),'VAT Validation'!A:B,2,FALSE),"")</f>
        <v/>
      </c>
    </row>
    <row r="3">
      <c r="A3" t="inlineStr">
        <is>
          <t>Invoice</t>
        </is>
      </c>
      <c r="B3" t="inlineStr">
        <is>
          <t>269265003817</t>
        </is>
      </c>
      <c r="C3" s="38" t="n">
        <v>46073</v>
      </c>
      <c r="D3" s="38" t="n">
        <v>46077</v>
      </c>
      <c r="E3" s="38" t="n"/>
      <c r="G3" t="n">
        <v>608760</v>
      </c>
      <c r="H3" t="inlineStr">
        <is>
          <t>JOHNSON ELECTRIC POLAND SP ZOO</t>
        </is>
      </c>
      <c r="I3" t="inlineStr">
        <is>
          <t>ESW0394952F</t>
        </is>
      </c>
      <c r="J3" t="inlineStr">
        <is>
          <t xml:space="preserve">PL6443245867 </t>
        </is>
      </c>
      <c r="K3" t="inlineStr">
        <is>
          <t>ES_REG/ES_ICAG_21_RCR</t>
        </is>
      </c>
      <c r="L3" t="n">
        <v>8284.790000000001</v>
      </c>
      <c r="M3" t="n">
        <v>1739.81</v>
      </c>
      <c r="N3" t="n">
        <v>1739.81</v>
      </c>
      <c r="O3" t="inlineStr">
        <is>
          <t>EUR</t>
        </is>
      </c>
      <c r="P3" t="n">
        <v>21</v>
      </c>
      <c r="Q3" t="inlineStr">
        <is>
          <t>Intra community acquisition of goods - Reverse charge Recoverable</t>
        </is>
      </c>
      <c r="R3" t="inlineStr">
        <is>
          <t>Okay-Value Matching</t>
        </is>
      </c>
      <c r="S3">
        <f>IFERROR(VLOOKUP(TRIM(J3),'VAT Validation'!A:B,2,FALSE),"")</f>
        <v/>
      </c>
    </row>
    <row r="4">
      <c r="A4" t="inlineStr">
        <is>
          <t>Invoice</t>
        </is>
      </c>
      <c r="B4" t="inlineStr">
        <is>
          <t>269265003830</t>
        </is>
      </c>
      <c r="C4" s="38" t="n">
        <v>46076</v>
      </c>
      <c r="D4" s="38" t="n">
        <v>46077</v>
      </c>
      <c r="E4" s="38" t="n"/>
      <c r="G4" t="n">
        <v>608760</v>
      </c>
      <c r="H4" t="inlineStr">
        <is>
          <t>JOHNSON ELECTRIC POLAND SP ZOO</t>
        </is>
      </c>
      <c r="I4" t="inlineStr">
        <is>
          <t>ESW0394952F</t>
        </is>
      </c>
      <c r="J4" t="inlineStr">
        <is>
          <t xml:space="preserve">PL6443245867 </t>
        </is>
      </c>
      <c r="K4" t="inlineStr">
        <is>
          <t>ES_REG/ES_ICAG_21_RCR</t>
        </is>
      </c>
      <c r="L4" t="n">
        <v>6737</v>
      </c>
      <c r="M4" t="n">
        <v>1414.77</v>
      </c>
      <c r="N4" t="n">
        <v>1414.77</v>
      </c>
      <c r="O4" t="inlineStr">
        <is>
          <t>EUR</t>
        </is>
      </c>
      <c r="P4" t="n">
        <v>21</v>
      </c>
      <c r="Q4" t="inlineStr">
        <is>
          <t>Intra community acquisition of goods - Reverse charge Recoverable</t>
        </is>
      </c>
      <c r="R4" t="inlineStr">
        <is>
          <t>Okay-Value Matching</t>
        </is>
      </c>
      <c r="S4">
        <f>IFERROR(VLOOKUP(TRIM(J4),'VAT Validation'!A:B,2,FALSE),"")</f>
        <v/>
      </c>
    </row>
    <row r="5">
      <c r="A5" t="inlineStr">
        <is>
          <t>Invoice</t>
        </is>
      </c>
      <c r="B5" t="inlineStr">
        <is>
          <t>269265003155</t>
        </is>
      </c>
      <c r="C5" s="38" t="n">
        <v>46069</v>
      </c>
      <c r="D5" s="38" t="n">
        <v>46077</v>
      </c>
      <c r="E5" s="38" t="n"/>
      <c r="G5" t="n">
        <v>608760</v>
      </c>
      <c r="H5" t="inlineStr">
        <is>
          <t>JOHNSON ELECTRIC POLAND SP ZOO</t>
        </is>
      </c>
      <c r="I5" t="inlineStr">
        <is>
          <t>ESW0394952F</t>
        </is>
      </c>
      <c r="J5" t="inlineStr">
        <is>
          <t xml:space="preserve">PL6443245867 </t>
        </is>
      </c>
      <c r="K5" t="inlineStr">
        <is>
          <t>ES_REG/ES_ICAG_21_RCR</t>
        </is>
      </c>
      <c r="L5" t="n">
        <v>9789.82</v>
      </c>
      <c r="M5" t="n">
        <v>2055.86</v>
      </c>
      <c r="N5" t="n">
        <v>2055.86</v>
      </c>
      <c r="O5" t="inlineStr">
        <is>
          <t>EUR</t>
        </is>
      </c>
      <c r="P5" t="n">
        <v>21</v>
      </c>
      <c r="Q5" t="inlineStr">
        <is>
          <t>Intra community acquisition of goods - Reverse charge Recoverable</t>
        </is>
      </c>
      <c r="R5" t="inlineStr">
        <is>
          <t>Okay-Value Matching</t>
        </is>
      </c>
      <c r="S5">
        <f>IFERROR(VLOOKUP(TRIM(J5),'VAT Validation'!A:B,2,FALSE),"")</f>
        <v/>
      </c>
    </row>
    <row r="6">
      <c r="A6" t="inlineStr">
        <is>
          <t>Invoice</t>
        </is>
      </c>
      <c r="B6" t="inlineStr">
        <is>
          <t>269265003078</t>
        </is>
      </c>
      <c r="C6" s="38" t="n">
        <v>46062</v>
      </c>
      <c r="D6" s="38" t="n">
        <v>46077</v>
      </c>
      <c r="E6" s="38" t="n"/>
      <c r="G6" t="n">
        <v>608760</v>
      </c>
      <c r="H6" t="inlineStr">
        <is>
          <t>JOHNSON ELECTRIC POLAND SP ZOO</t>
        </is>
      </c>
      <c r="I6" t="inlineStr">
        <is>
          <t>ESW0394952F</t>
        </is>
      </c>
      <c r="J6" t="inlineStr">
        <is>
          <t xml:space="preserve">PL6443245867 </t>
        </is>
      </c>
      <c r="K6" t="inlineStr">
        <is>
          <t>ES_REG/ES_ICAG_21_RCR</t>
        </is>
      </c>
      <c r="L6" t="n">
        <v>1003.26</v>
      </c>
      <c r="M6" t="n">
        <v>210.68</v>
      </c>
      <c r="N6" t="n">
        <v>210.68</v>
      </c>
      <c r="O6" t="inlineStr">
        <is>
          <t>EUR</t>
        </is>
      </c>
      <c r="P6" t="n">
        <v>21</v>
      </c>
      <c r="Q6" t="inlineStr">
        <is>
          <t>Intra community acquisition of goods - Reverse charge Recoverable</t>
        </is>
      </c>
      <c r="R6" t="inlineStr">
        <is>
          <t>Okay-Value Matching</t>
        </is>
      </c>
      <c r="S6">
        <f>IFERROR(VLOOKUP(TRIM(J6),'VAT Validation'!A:B,2,FALSE),"")</f>
        <v/>
      </c>
    </row>
    <row r="7">
      <c r="A7" t="inlineStr">
        <is>
          <t>Invoice</t>
        </is>
      </c>
      <c r="B7" t="inlineStr">
        <is>
          <t>269265003843</t>
        </is>
      </c>
      <c r="C7" s="38" t="n">
        <v>46077</v>
      </c>
      <c r="D7" s="38" t="n">
        <v>46078</v>
      </c>
      <c r="E7" s="38" t="n"/>
      <c r="G7" t="n">
        <v>608760</v>
      </c>
      <c r="H7" t="inlineStr">
        <is>
          <t>JOHNSON ELECTRIC POLAND SP ZOO</t>
        </is>
      </c>
      <c r="I7" t="inlineStr">
        <is>
          <t>ESW0394952F</t>
        </is>
      </c>
      <c r="J7" t="inlineStr">
        <is>
          <t xml:space="preserve">PL6443245867 </t>
        </is>
      </c>
      <c r="K7" t="inlineStr">
        <is>
          <t>ES_REG/ES_ICAG_21_RCR</t>
        </is>
      </c>
      <c r="L7" t="n">
        <v>1309.35</v>
      </c>
      <c r="M7" t="n">
        <v>274.96</v>
      </c>
      <c r="N7" t="n">
        <v>274.96</v>
      </c>
      <c r="O7" t="inlineStr">
        <is>
          <t>EUR</t>
        </is>
      </c>
      <c r="P7" t="n">
        <v>21</v>
      </c>
      <c r="Q7" t="inlineStr">
        <is>
          <t>Intra community acquisition of goods - Reverse charge Recoverable</t>
        </is>
      </c>
      <c r="R7" t="inlineStr">
        <is>
          <t>Okay-Value Matching</t>
        </is>
      </c>
      <c r="S7">
        <f>IFERROR(VLOOKUP(TRIM(J7),'VAT Validation'!A:B,2,FALSE),"")</f>
        <v/>
      </c>
    </row>
    <row r="8">
      <c r="A8" t="inlineStr">
        <is>
          <t>Invoice</t>
        </is>
      </c>
      <c r="B8" t="inlineStr">
        <is>
          <t>269265004054</t>
        </is>
      </c>
      <c r="C8" s="38" t="n">
        <v>46098</v>
      </c>
      <c r="D8" s="38" t="n">
        <v>46101</v>
      </c>
      <c r="E8" s="38" t="n"/>
      <c r="G8" t="n">
        <v>608760</v>
      </c>
      <c r="H8" t="inlineStr">
        <is>
          <t>JOHNSON ELECTRIC POLAND SP ZOO</t>
        </is>
      </c>
      <c r="I8" t="inlineStr">
        <is>
          <t>ESW0394952F</t>
        </is>
      </c>
      <c r="J8" t="inlineStr">
        <is>
          <t xml:space="preserve">PL6443245867 </t>
        </is>
      </c>
      <c r="K8" t="inlineStr">
        <is>
          <t>ES_REG/ES_ICAG_21_RCR</t>
        </is>
      </c>
      <c r="L8" t="n">
        <v>3405.84</v>
      </c>
      <c r="M8" t="n">
        <v>715.23</v>
      </c>
      <c r="N8" t="n">
        <v>715.23</v>
      </c>
      <c r="O8" t="inlineStr">
        <is>
          <t>EUR</t>
        </is>
      </c>
      <c r="P8" t="n">
        <v>21</v>
      </c>
      <c r="Q8" t="inlineStr">
        <is>
          <t>Intra community acquisition of goods - Reverse charge Recoverable</t>
        </is>
      </c>
      <c r="R8" t="inlineStr">
        <is>
          <t>Okay-Value Matching</t>
        </is>
      </c>
      <c r="S8">
        <f>IFERROR(VLOOKUP(TRIM(J8),'VAT Validation'!A:B,2,FALSE),"")</f>
        <v/>
      </c>
    </row>
    <row r="9">
      <c r="A9" t="inlineStr">
        <is>
          <t>Invoice</t>
        </is>
      </c>
      <c r="B9" t="inlineStr">
        <is>
          <t>269265004161</t>
        </is>
      </c>
      <c r="C9" s="38" t="n">
        <v>46108</v>
      </c>
      <c r="D9" s="38" t="n">
        <v>46111</v>
      </c>
      <c r="E9" s="38" t="n"/>
      <c r="G9" t="n">
        <v>608760</v>
      </c>
      <c r="H9" t="inlineStr">
        <is>
          <t>JOHNSON ELECTRIC POLAND SP ZOO</t>
        </is>
      </c>
      <c r="I9" t="inlineStr">
        <is>
          <t>ESW0394952F</t>
        </is>
      </c>
      <c r="J9" t="inlineStr">
        <is>
          <t xml:space="preserve">PL6443245867 </t>
        </is>
      </c>
      <c r="K9" t="inlineStr">
        <is>
          <t>ES_REG/ES_ICAG_21_RCR</t>
        </is>
      </c>
      <c r="L9" t="n">
        <v>3142.45</v>
      </c>
      <c r="M9" t="n">
        <v>659.91</v>
      </c>
      <c r="N9" t="n">
        <v>659.91</v>
      </c>
      <c r="O9" t="inlineStr">
        <is>
          <t>EUR</t>
        </is>
      </c>
      <c r="P9" t="n">
        <v>21</v>
      </c>
      <c r="Q9" t="inlineStr">
        <is>
          <t>Intra community acquisition of goods - Reverse charge Recoverable</t>
        </is>
      </c>
      <c r="R9" t="inlineStr">
        <is>
          <t>Okay-Value Matching</t>
        </is>
      </c>
      <c r="S9">
        <f>IFERROR(VLOOKUP(TRIM(J9),'VAT Validation'!A:B,2,FALSE),"")</f>
        <v/>
      </c>
    </row>
    <row r="10">
      <c r="A10" t="inlineStr">
        <is>
          <t>Invoice</t>
        </is>
      </c>
      <c r="B10" t="inlineStr">
        <is>
          <t>269265004072</t>
        </is>
      </c>
      <c r="C10" s="38" t="n">
        <v>46099</v>
      </c>
      <c r="D10" s="38" t="n">
        <v>46101</v>
      </c>
      <c r="E10" s="38" t="n"/>
      <c r="G10" t="n">
        <v>608760</v>
      </c>
      <c r="H10" t="inlineStr">
        <is>
          <t>JOHNSON ELECTRIC POLAND SP ZOO</t>
        </is>
      </c>
      <c r="I10" t="inlineStr">
        <is>
          <t>ESW0394952F</t>
        </is>
      </c>
      <c r="J10" t="inlineStr">
        <is>
          <t xml:space="preserve">PL6443245867 </t>
        </is>
      </c>
      <c r="K10" t="inlineStr">
        <is>
          <t>ES_REG/ES_ICAG_21_RCR</t>
        </is>
      </c>
      <c r="L10" t="n">
        <v>3405.84</v>
      </c>
      <c r="M10" t="n">
        <v>715.23</v>
      </c>
      <c r="N10" t="n">
        <v>715.23</v>
      </c>
      <c r="O10" t="inlineStr">
        <is>
          <t>EUR</t>
        </is>
      </c>
      <c r="P10" t="n">
        <v>21</v>
      </c>
      <c r="Q10" t="inlineStr">
        <is>
          <t>Intra community acquisition of goods - Reverse charge Recoverable</t>
        </is>
      </c>
      <c r="R10" t="inlineStr">
        <is>
          <t>Okay-Value Matching</t>
        </is>
      </c>
      <c r="S10">
        <f>IFERROR(VLOOKUP(TRIM(J10),'VAT Validation'!A:B,2,FALSE),"")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7" t="inlineStr">
        <is>
          <t>Doc type</t>
        </is>
      </c>
      <c r="B1" s="37" t="inlineStr">
        <is>
          <t>Invoice No.</t>
        </is>
      </c>
      <c r="C1" s="37" t="inlineStr">
        <is>
          <t>Invoice Date</t>
        </is>
      </c>
      <c r="D1" s="37" t="inlineStr">
        <is>
          <t>Registered Date / Invoice Creation Date:</t>
        </is>
      </c>
      <c r="E1" s="37" t="inlineStr">
        <is>
          <t>Delivery Date</t>
        </is>
      </c>
      <c r="F1" s="37" t="inlineStr">
        <is>
          <t>Incoterm</t>
        </is>
      </c>
      <c r="G1" s="37" t="inlineStr">
        <is>
          <t>Customer/Supplier No</t>
        </is>
      </c>
      <c r="H1" s="37" t="inlineStr">
        <is>
          <t>Customer/Supplier</t>
        </is>
      </c>
      <c r="I1" s="37" t="inlineStr">
        <is>
          <t>Our Tax Registration No.</t>
        </is>
      </c>
      <c r="J1" s="37" t="inlineStr">
        <is>
          <t>VAT Registration No.</t>
        </is>
      </c>
      <c r="K1" s="37" t="inlineStr">
        <is>
          <t>Tax Code</t>
        </is>
      </c>
      <c r="L1" s="37" t="inlineStr">
        <is>
          <t>Taxable Amt (Tax Curr)</t>
        </is>
      </c>
      <c r="M1" s="37" t="inlineStr">
        <is>
          <t>Recoverable Amt (Tax Curr)</t>
        </is>
      </c>
      <c r="N1" s="37" t="inlineStr">
        <is>
          <t>Func Total</t>
        </is>
      </c>
      <c r="O1" s="37" t="inlineStr">
        <is>
          <t>Inv Curr</t>
        </is>
      </c>
      <c r="P1" s="37" t="inlineStr">
        <is>
          <t>VAT rate %</t>
        </is>
      </c>
      <c r="Q1" s="37" t="inlineStr">
        <is>
          <t>Mapping</t>
        </is>
      </c>
      <c r="R1" s="37" t="inlineStr">
        <is>
          <t>Comments</t>
        </is>
      </c>
      <c r="S1" s="37" t="inlineStr">
        <is>
          <t>VAT Status</t>
        </is>
      </c>
    </row>
    <row r="2">
      <c r="A2" t="inlineStr">
        <is>
          <t>Credit note</t>
        </is>
      </c>
      <c r="B2" t="inlineStr">
        <is>
          <t>283268200004</t>
        </is>
      </c>
      <c r="C2" s="38" t="n">
        <v>46063</v>
      </c>
      <c r="D2" s="38" t="n">
        <v>46063</v>
      </c>
      <c r="E2" s="38" t="n">
        <v>46062</v>
      </c>
      <c r="F2" t="inlineStr">
        <is>
          <t>DAP</t>
        </is>
      </c>
      <c r="G2" t="n">
        <v>70590</v>
      </c>
      <c r="H2" t="inlineStr">
        <is>
          <t>HUF ESPANA S.A.</t>
        </is>
      </c>
      <c r="I2" t="inlineStr">
        <is>
          <t>ESW0394952F</t>
        </is>
      </c>
      <c r="J2" t="inlineStr">
        <is>
          <t xml:space="preserve">ES A08806812 </t>
        </is>
      </c>
      <c r="K2" t="inlineStr">
        <is>
          <t>ES_REG/DSG_21</t>
        </is>
      </c>
      <c r="L2" t="n">
        <v>-928</v>
      </c>
      <c r="M2" t="n">
        <v>-194.88</v>
      </c>
      <c r="N2" t="n">
        <v>0</v>
      </c>
      <c r="O2" t="inlineStr">
        <is>
          <t>EUR</t>
        </is>
      </c>
      <c r="P2" t="n">
        <v>21</v>
      </c>
      <c r="Q2" t="inlineStr">
        <is>
          <t>Domestic sale of Goods</t>
        </is>
      </c>
      <c r="R2" s="39" t="inlineStr">
        <is>
          <t>(Johnson -Corp-Common-Creditors &amp; Accr \- VAT / -External-NL VAT Payable-Default_283-00-0000-32310000-000-46685-000)_Value Not Matching</t>
        </is>
      </c>
      <c r="S2">
        <f>IFERROR(VLOOKUP(TRIM(J2),'VAT Validation'!A:B,2,FALSE),"")</f>
        <v/>
      </c>
    </row>
    <row r="3">
      <c r="A3" t="inlineStr">
        <is>
          <t>Credit note</t>
        </is>
      </c>
      <c r="B3" t="inlineStr">
        <is>
          <t>283268200007</t>
        </is>
      </c>
      <c r="C3" s="38" t="n">
        <v>46076</v>
      </c>
      <c r="D3" s="38" t="n">
        <v>46076</v>
      </c>
      <c r="E3" s="38" t="n">
        <v>46076</v>
      </c>
      <c r="F3" t="inlineStr">
        <is>
          <t>DDP</t>
        </is>
      </c>
      <c r="G3" t="n">
        <v>33644</v>
      </c>
      <c r="H3" t="inlineStr">
        <is>
          <t>ERMEC S.L.</t>
        </is>
      </c>
      <c r="I3" t="inlineStr">
        <is>
          <t>ESW0394952F</t>
        </is>
      </c>
      <c r="J3" s="40" t="n"/>
      <c r="K3" t="inlineStr">
        <is>
          <t>ES_REG/DSG_21</t>
        </is>
      </c>
      <c r="L3" t="n">
        <v>-8000</v>
      </c>
      <c r="M3" t="n">
        <v>-1680</v>
      </c>
      <c r="N3" t="n">
        <v>-1680</v>
      </c>
      <c r="O3" t="inlineStr">
        <is>
          <t>EUR</t>
        </is>
      </c>
      <c r="P3" t="n">
        <v>21</v>
      </c>
      <c r="Q3" t="inlineStr">
        <is>
          <t>Domestic sale of Goods</t>
        </is>
      </c>
      <c r="R3" t="inlineStr">
        <is>
          <t>Okay-Value Matching</t>
        </is>
      </c>
      <c r="S3">
        <f>IFERROR(VLOOKUP(TRIM(J3),'VAT Validation'!A:B,2,FALSE),"")</f>
        <v/>
      </c>
    </row>
    <row r="4">
      <c r="A4" t="inlineStr">
        <is>
          <t>Credit note</t>
        </is>
      </c>
      <c r="B4" t="inlineStr">
        <is>
          <t>283268200005</t>
        </is>
      </c>
      <c r="C4" s="38" t="n">
        <v>46069</v>
      </c>
      <c r="D4" s="38" t="n">
        <v>46069</v>
      </c>
      <c r="E4" s="38" t="n">
        <v>46069</v>
      </c>
      <c r="F4" t="inlineStr">
        <is>
          <t>DDP</t>
        </is>
      </c>
      <c r="G4" t="n">
        <v>11674</v>
      </c>
      <c r="H4" t="inlineStr">
        <is>
          <t>REPA IBERIA SLU</t>
        </is>
      </c>
      <c r="I4" t="inlineStr">
        <is>
          <t>ESW0394952F</t>
        </is>
      </c>
      <c r="J4" s="40" t="n"/>
      <c r="K4" t="inlineStr">
        <is>
          <t>ES_REG/DSG_21</t>
        </is>
      </c>
      <c r="L4" t="n">
        <v>-14421</v>
      </c>
      <c r="M4" t="n">
        <v>-3028.41</v>
      </c>
      <c r="N4" t="n">
        <v>-3028.41</v>
      </c>
      <c r="O4" t="inlineStr">
        <is>
          <t>EUR</t>
        </is>
      </c>
      <c r="P4" t="n">
        <v>21</v>
      </c>
      <c r="Q4" t="inlineStr">
        <is>
          <t>Domestic sale of Goods</t>
        </is>
      </c>
      <c r="R4" t="inlineStr">
        <is>
          <t>Okay-Value Matching</t>
        </is>
      </c>
      <c r="S4">
        <f>IFERROR(VLOOKUP(TRIM(J4),'VAT Validation'!A:B,2,FALSE),"")</f>
        <v/>
      </c>
    </row>
    <row r="5">
      <c r="A5" t="inlineStr">
        <is>
          <t>Credit note</t>
        </is>
      </c>
      <c r="B5" t="inlineStr">
        <is>
          <t>283268200003</t>
        </is>
      </c>
      <c r="C5" s="38" t="n">
        <v>46056</v>
      </c>
      <c r="D5" s="38" t="n">
        <v>46056</v>
      </c>
      <c r="E5" s="38" t="n">
        <v>46051</v>
      </c>
      <c r="F5" t="inlineStr">
        <is>
          <t>DDP</t>
        </is>
      </c>
      <c r="G5" t="n">
        <v>35184</v>
      </c>
      <c r="H5" t="inlineStr">
        <is>
          <t>CLR COMPANIA LEVANTINA DE REDUCTORES</t>
        </is>
      </c>
      <c r="I5" t="inlineStr">
        <is>
          <t>ESW0394952F</t>
        </is>
      </c>
      <c r="J5" t="inlineStr">
        <is>
          <t xml:space="preserve">ESB03933835 </t>
        </is>
      </c>
      <c r="K5" t="inlineStr">
        <is>
          <t>ES_REG/DSG_21</t>
        </is>
      </c>
      <c r="L5" t="n">
        <v>-3985.92</v>
      </c>
      <c r="M5" t="n">
        <v>-837.04</v>
      </c>
      <c r="N5" t="n">
        <v>0</v>
      </c>
      <c r="O5" t="inlineStr">
        <is>
          <t>EUR</t>
        </is>
      </c>
      <c r="P5" t="n">
        <v>21</v>
      </c>
      <c r="Q5" t="inlineStr">
        <is>
          <t>Domestic sale of Goods</t>
        </is>
      </c>
      <c r="R5" s="39" t="inlineStr">
        <is>
          <t>(Johnson -Corp-Common-Creditors &amp; Accr \- VAT / -External-NL VAT Payable-Default_283-00-0000-32310000-000-46685-000)_Value Not Matching</t>
        </is>
      </c>
      <c r="S5">
        <f>IFERROR(VLOOKUP(TRIM(J5),'VAT Validation'!A:B,2,FALSE),"")</f>
        <v/>
      </c>
    </row>
    <row r="6">
      <c r="A6" t="inlineStr">
        <is>
          <t>Credit note</t>
        </is>
      </c>
      <c r="B6" t="inlineStr">
        <is>
          <t>283268200009</t>
        </is>
      </c>
      <c r="C6" s="38" t="n">
        <v>46077</v>
      </c>
      <c r="D6" s="38" t="n">
        <v>46077</v>
      </c>
      <c r="E6" s="38" t="n">
        <v>46077</v>
      </c>
      <c r="F6" t="inlineStr">
        <is>
          <t>DDP</t>
        </is>
      </c>
      <c r="G6" t="n">
        <v>11674</v>
      </c>
      <c r="H6" t="inlineStr">
        <is>
          <t>REPA IBERIA SLU</t>
        </is>
      </c>
      <c r="I6" t="inlineStr">
        <is>
          <t>ESW0394952F</t>
        </is>
      </c>
      <c r="J6" s="40" t="n"/>
      <c r="K6" t="inlineStr">
        <is>
          <t>ES_REG/DSG_21</t>
        </is>
      </c>
      <c r="L6" t="n">
        <v>-3710</v>
      </c>
      <c r="M6" t="n">
        <v>-779.1</v>
      </c>
      <c r="N6" t="n">
        <v>-779.1</v>
      </c>
      <c r="O6" t="inlineStr">
        <is>
          <t>EUR</t>
        </is>
      </c>
      <c r="P6" t="n">
        <v>21</v>
      </c>
      <c r="Q6" t="inlineStr">
        <is>
          <t>Domestic sale of Goods</t>
        </is>
      </c>
      <c r="R6" t="inlineStr">
        <is>
          <t>Okay-Value Matching</t>
        </is>
      </c>
      <c r="S6">
        <f>IFERROR(VLOOKUP(TRIM(J6),'VAT Validation'!A:B,2,FALSE),"")</f>
        <v/>
      </c>
    </row>
    <row r="7">
      <c r="A7" t="inlineStr">
        <is>
          <t>Credit note</t>
        </is>
      </c>
      <c r="B7" t="inlineStr">
        <is>
          <t>283268200008</t>
        </is>
      </c>
      <c r="C7" s="38" t="n">
        <v>46076</v>
      </c>
      <c r="D7" s="38" t="n">
        <v>46076</v>
      </c>
      <c r="E7" s="38" t="n">
        <v>46073</v>
      </c>
      <c r="F7" t="inlineStr">
        <is>
          <t>DDP</t>
        </is>
      </c>
      <c r="G7" t="n">
        <v>70272</v>
      </c>
      <c r="H7" t="inlineStr">
        <is>
          <t>OCTÉ ELECTRIC, S.A.U.</t>
        </is>
      </c>
      <c r="I7" t="inlineStr">
        <is>
          <t>ESW0394952F</t>
        </is>
      </c>
      <c r="J7" t="inlineStr">
        <is>
          <t xml:space="preserve">ESA20025136 </t>
        </is>
      </c>
      <c r="K7" t="inlineStr">
        <is>
          <t>ES_REG/DSG_21</t>
        </is>
      </c>
      <c r="L7" t="n">
        <v>-13050</v>
      </c>
      <c r="M7" t="n">
        <v>-2740.5</v>
      </c>
      <c r="N7" t="n">
        <v>-2740.5</v>
      </c>
      <c r="O7" t="inlineStr">
        <is>
          <t>EUR</t>
        </is>
      </c>
      <c r="P7" t="n">
        <v>21</v>
      </c>
      <c r="Q7" t="inlineStr">
        <is>
          <t>Domestic sale of Goods</t>
        </is>
      </c>
      <c r="R7" t="inlineStr">
        <is>
          <t>Okay-Value Matching</t>
        </is>
      </c>
      <c r="S7">
        <f>IFERROR(VLOOKUP(TRIM(J7),'VAT Validation'!A:B,2,FALSE),"")</f>
        <v/>
      </c>
    </row>
    <row r="8">
      <c r="A8" t="inlineStr">
        <is>
          <t>Credit note</t>
        </is>
      </c>
      <c r="B8" t="inlineStr">
        <is>
          <t>283268200002</t>
        </is>
      </c>
      <c r="C8" s="38" t="n">
        <v>46056</v>
      </c>
      <c r="D8" s="38" t="n">
        <v>46056</v>
      </c>
      <c r="E8" s="38" t="n">
        <v>46050</v>
      </c>
      <c r="F8" t="inlineStr">
        <is>
          <t>DDP</t>
        </is>
      </c>
      <c r="G8" t="n">
        <v>35184</v>
      </c>
      <c r="H8" t="inlineStr">
        <is>
          <t>CLR COMPANIA LEVANTINA DE REDUCTORES</t>
        </is>
      </c>
      <c r="I8" t="inlineStr">
        <is>
          <t>ESW0394952F</t>
        </is>
      </c>
      <c r="J8" t="inlineStr">
        <is>
          <t xml:space="preserve">ESB03933835 </t>
        </is>
      </c>
      <c r="K8" t="inlineStr">
        <is>
          <t>ES_REG/DSG_21</t>
        </is>
      </c>
      <c r="L8" t="n">
        <v>-3985.92</v>
      </c>
      <c r="M8" t="n">
        <v>-837.04</v>
      </c>
      <c r="N8" t="n">
        <v>0</v>
      </c>
      <c r="O8" t="inlineStr">
        <is>
          <t>EUR</t>
        </is>
      </c>
      <c r="P8" t="n">
        <v>21</v>
      </c>
      <c r="Q8" t="inlineStr">
        <is>
          <t>Domestic sale of Goods</t>
        </is>
      </c>
      <c r="R8" s="39" t="inlineStr">
        <is>
          <t>(Johnson -Corp-Common-Creditors &amp; Accr \- VAT / -External-NL VAT Payable-Default_283-00-0000-32310000-000-46685-000)_Value Not Matching</t>
        </is>
      </c>
      <c r="S8">
        <f>IFERROR(VLOOKUP(TRIM(J8),'VAT Validation'!A:B,2,FALSE),"")</f>
        <v/>
      </c>
    </row>
    <row r="9">
      <c r="A9" t="inlineStr">
        <is>
          <t>Credit note</t>
        </is>
      </c>
      <c r="B9" t="inlineStr">
        <is>
          <t>283268200006</t>
        </is>
      </c>
      <c r="C9" s="38" t="n">
        <v>46073</v>
      </c>
      <c r="D9" s="38" t="n">
        <v>46073</v>
      </c>
      <c r="E9" s="38" t="n">
        <v>46073</v>
      </c>
      <c r="F9" t="inlineStr">
        <is>
          <t>DDP</t>
        </is>
      </c>
      <c r="G9" t="n">
        <v>11674</v>
      </c>
      <c r="H9" t="inlineStr">
        <is>
          <t>REPA IBERIA SLU</t>
        </is>
      </c>
      <c r="I9" t="inlineStr">
        <is>
          <t>ESW0394952F</t>
        </is>
      </c>
      <c r="J9" s="40" t="n"/>
      <c r="K9" t="inlineStr">
        <is>
          <t>ES_REG/DSG_21</t>
        </is>
      </c>
      <c r="L9" t="n">
        <v>-12640.8</v>
      </c>
      <c r="M9" t="n">
        <v>-2654.57</v>
      </c>
      <c r="N9" t="n">
        <v>-2654.57</v>
      </c>
      <c r="O9" t="inlineStr">
        <is>
          <t>EUR</t>
        </is>
      </c>
      <c r="P9" t="n">
        <v>21</v>
      </c>
      <c r="Q9" t="inlineStr">
        <is>
          <t>Domestic sale of Goods</t>
        </is>
      </c>
      <c r="R9" t="inlineStr">
        <is>
          <t>Okay-Value Matching</t>
        </is>
      </c>
      <c r="S9">
        <f>IFERROR(VLOOKUP(TRIM(J9),'VAT Validation'!A:B,2,FALSE),"")</f>
        <v/>
      </c>
    </row>
    <row r="10">
      <c r="A10" t="inlineStr">
        <is>
          <t>Credit note</t>
        </is>
      </c>
      <c r="B10" t="inlineStr">
        <is>
          <t>283268200010</t>
        </is>
      </c>
      <c r="C10" s="38" t="n">
        <v>46108</v>
      </c>
      <c r="D10" s="38" t="n">
        <v>46108</v>
      </c>
      <c r="E10" s="38" t="n">
        <v>46108</v>
      </c>
      <c r="F10" t="inlineStr">
        <is>
          <t>DDP</t>
        </is>
      </c>
      <c r="G10" t="n">
        <v>11674</v>
      </c>
      <c r="H10" t="inlineStr">
        <is>
          <t>REPA IBERIA SLU</t>
        </is>
      </c>
      <c r="I10" t="inlineStr">
        <is>
          <t>ESW0394952F</t>
        </is>
      </c>
      <c r="J10" s="40" t="n"/>
      <c r="K10" t="inlineStr">
        <is>
          <t>ES_REG/DSG_21</t>
        </is>
      </c>
      <c r="L10" t="n">
        <v>-8904</v>
      </c>
      <c r="M10" t="n">
        <v>-1869.84</v>
      </c>
      <c r="N10" t="n">
        <v>-1869.84</v>
      </c>
      <c r="O10" t="inlineStr">
        <is>
          <t>EUR</t>
        </is>
      </c>
      <c r="P10" t="n">
        <v>21</v>
      </c>
      <c r="Q10" t="inlineStr">
        <is>
          <t>Domestic sale of Goods</t>
        </is>
      </c>
      <c r="R10" t="inlineStr">
        <is>
          <t>Okay-Value Matching</t>
        </is>
      </c>
      <c r="S10">
        <f>IFERROR(VLOOKUP(TRIM(J10),'VAT Validation'!A:B,2,FALSE),"")</f>
        <v/>
      </c>
    </row>
    <row r="11">
      <c r="A11" t="inlineStr">
        <is>
          <t>Credit note</t>
        </is>
      </c>
      <c r="B11" t="inlineStr">
        <is>
          <t>283268200001</t>
        </is>
      </c>
      <c r="C11" s="38" t="n">
        <v>46034</v>
      </c>
      <c r="D11" s="38" t="n">
        <v>46034</v>
      </c>
      <c r="E11" s="38" t="n">
        <v>46031</v>
      </c>
      <c r="F11" t="inlineStr">
        <is>
          <t>DAP</t>
        </is>
      </c>
      <c r="G11" t="n">
        <v>70590</v>
      </c>
      <c r="H11" t="inlineStr">
        <is>
          <t>HUF ESPANA S.A.</t>
        </is>
      </c>
      <c r="I11" t="inlineStr">
        <is>
          <t>ESW0394952F</t>
        </is>
      </c>
      <c r="J11" t="inlineStr">
        <is>
          <t xml:space="preserve">ES A08806812 </t>
        </is>
      </c>
      <c r="K11" t="inlineStr">
        <is>
          <t>ES_REG/DSG_21</t>
        </is>
      </c>
      <c r="L11" t="n">
        <v>-3628.8</v>
      </c>
      <c r="M11" t="n">
        <v>-762.05</v>
      </c>
      <c r="N11" t="n">
        <v>0</v>
      </c>
      <c r="O11" t="inlineStr">
        <is>
          <t>EUR</t>
        </is>
      </c>
      <c r="P11" t="n">
        <v>21</v>
      </c>
      <c r="Q11" t="inlineStr">
        <is>
          <t>Domestic sale of Goods</t>
        </is>
      </c>
      <c r="R11" s="39" t="inlineStr">
        <is>
          <t>(Johnson -Corp-Common-Creditors &amp; Accr \- VAT / -External-NL VAT Payable-Default_283-00-0000-32310000-000-46685-000)_Value Not Matching</t>
        </is>
      </c>
      <c r="S11">
        <f>IFERROR(VLOOKUP(TRIM(J11),'VAT Validation'!A:B,2,FALSE),"")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7" t="inlineStr">
        <is>
          <t>Doc type</t>
        </is>
      </c>
      <c r="B1" s="37" t="inlineStr">
        <is>
          <t>Invoice No.</t>
        </is>
      </c>
      <c r="C1" s="37" t="inlineStr">
        <is>
          <t>Invoice Date</t>
        </is>
      </c>
      <c r="D1" s="37" t="inlineStr">
        <is>
          <t>Registered Date / Invoice Creation Date:</t>
        </is>
      </c>
      <c r="E1" s="37" t="inlineStr">
        <is>
          <t>Delivery Date</t>
        </is>
      </c>
      <c r="F1" s="37" t="inlineStr">
        <is>
          <t>Incoterm</t>
        </is>
      </c>
      <c r="G1" s="37" t="inlineStr">
        <is>
          <t>Customer/Supplier No</t>
        </is>
      </c>
      <c r="H1" s="37" t="inlineStr">
        <is>
          <t>Customer/Supplier</t>
        </is>
      </c>
      <c r="I1" s="37" t="inlineStr">
        <is>
          <t>Our Tax Registration No.</t>
        </is>
      </c>
      <c r="J1" s="37" t="inlineStr">
        <is>
          <t>VAT Registration No.</t>
        </is>
      </c>
      <c r="K1" s="37" t="inlineStr">
        <is>
          <t>Tax Code</t>
        </is>
      </c>
      <c r="L1" s="37" t="inlineStr">
        <is>
          <t>Taxable Amt (Tax Curr)</t>
        </is>
      </c>
      <c r="M1" s="37" t="inlineStr">
        <is>
          <t>Recoverable Amt (Tax Curr)</t>
        </is>
      </c>
      <c r="N1" s="37" t="inlineStr">
        <is>
          <t>Func Total</t>
        </is>
      </c>
      <c r="O1" s="37" t="inlineStr">
        <is>
          <t>Inv Curr</t>
        </is>
      </c>
      <c r="P1" s="37" t="inlineStr">
        <is>
          <t>VAT rate %</t>
        </is>
      </c>
      <c r="Q1" s="37" t="inlineStr">
        <is>
          <t>Mapping</t>
        </is>
      </c>
      <c r="R1" s="37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7" t="inlineStr">
        <is>
          <t>Period</t>
        </is>
      </c>
      <c r="B1" s="37" t="inlineStr">
        <is>
          <t>Account Number</t>
        </is>
      </c>
      <c r="C1" s="37" t="inlineStr">
        <is>
          <t>Account Description</t>
        </is>
      </c>
      <c r="D1" s="37" t="inlineStr">
        <is>
          <t>Journal Source</t>
        </is>
      </c>
      <c r="E1" s="37" t="inlineStr">
        <is>
          <t>Journal Batch Name</t>
        </is>
      </c>
      <c r="F1" s="37" t="inlineStr">
        <is>
          <t>Accounting Sequence</t>
        </is>
      </c>
      <c r="G1" s="37" t="inlineStr">
        <is>
          <t>Category</t>
        </is>
      </c>
      <c r="H1" s="37" t="inlineStr">
        <is>
          <t>JE Name</t>
        </is>
      </c>
      <c r="I1" s="37" t="inlineStr">
        <is>
          <t>Customer/Vendor</t>
        </is>
      </c>
      <c r="J1" s="37" t="inlineStr">
        <is>
          <t>Invoice NO.</t>
        </is>
      </c>
      <c r="K1" s="37" t="inlineStr">
        <is>
          <t>Invoice Date</t>
        </is>
      </c>
      <c r="L1" s="37" t="inlineStr">
        <is>
          <t>Posted Date</t>
        </is>
      </c>
      <c r="M1" s="37" t="inlineStr">
        <is>
          <t>Document No.</t>
        </is>
      </c>
      <c r="N1" s="37" t="inlineStr">
        <is>
          <t>PO No.</t>
        </is>
      </c>
      <c r="O1" s="37" t="inlineStr">
        <is>
          <t>Project No.</t>
        </is>
      </c>
      <c r="P1" s="37" t="inlineStr">
        <is>
          <t>Curr</t>
        </is>
      </c>
      <c r="Q1" s="37" t="inlineStr">
        <is>
          <t>Trans. Debits</t>
        </is>
      </c>
      <c r="R1" s="37" t="inlineStr">
        <is>
          <t>Trans. Credits</t>
        </is>
      </c>
      <c r="S1" s="37" t="inlineStr">
        <is>
          <t>Trans Total</t>
        </is>
      </c>
      <c r="T1" s="37" t="inlineStr">
        <is>
          <t>Func. Debits</t>
        </is>
      </c>
      <c r="U1" s="37" t="inlineStr">
        <is>
          <t>Func. Credits</t>
        </is>
      </c>
      <c r="V1" s="37" t="inlineStr">
        <is>
          <t>Func Total</t>
        </is>
      </c>
      <c r="W1" s="37" t="inlineStr">
        <is>
          <t>Description</t>
        </is>
      </c>
      <c r="X1" s="37" t="inlineStr">
        <is>
          <t>Invoice Reference Number</t>
        </is>
      </c>
      <c r="Y1" s="37" t="inlineStr">
        <is>
          <t>Journal Description</t>
        </is>
      </c>
      <c r="Z1" s="37" t="inlineStr">
        <is>
          <t>Unnamed: 25</t>
        </is>
      </c>
      <c r="AA1" s="37" t="inlineStr">
        <is>
          <t>Unnamed: 26</t>
        </is>
      </c>
      <c r="AB1" s="37" t="inlineStr">
        <is>
          <t>Unnamed: 27</t>
        </is>
      </c>
      <c r="AC1" s="37" t="inlineStr">
        <is>
          <t>Unnamed: 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7" t="inlineStr">
        <is>
          <t>VAT Registration No.</t>
        </is>
      </c>
      <c r="B1" s="37" t="inlineStr">
        <is>
          <t>VAT Status</t>
        </is>
      </c>
    </row>
    <row r="2">
      <c r="A2" t="inlineStr">
        <is>
          <t>ES A08806812</t>
        </is>
      </c>
      <c r="B2" t="inlineStr">
        <is>
          <t>VALID</t>
        </is>
      </c>
    </row>
    <row r="3">
      <c r="A3" t="inlineStr">
        <is>
          <t>ESA20025136</t>
        </is>
      </c>
      <c r="B3" t="inlineStr">
        <is>
          <t>VALID</t>
        </is>
      </c>
    </row>
    <row r="4">
      <c r="A4" t="inlineStr">
        <is>
          <t>ESB03933835</t>
        </is>
      </c>
      <c r="B4" t="inlineStr">
        <is>
          <t>VALID</t>
        </is>
      </c>
    </row>
    <row r="5">
      <c r="A5" t="inlineStr">
        <is>
          <t>PL6443245867</t>
        </is>
      </c>
      <c r="B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2026-08-03T07:09:05Z</dcterms:created>
  <dcterms:modified xmlns:dcterms="http://purl.org/dc/terms/" xmlns:xsi="http://www.w3.org/2001/XMLSchema-instance" xsi:type="dcterms:W3CDTF">2026-08-03T07:09:50Z</dcterms:modified>
</cp:coreProperties>
</file>